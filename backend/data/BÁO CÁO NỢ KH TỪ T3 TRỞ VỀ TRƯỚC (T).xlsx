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 - Project\KHHH - Antigravity\backend\data\"/>
    </mc:Choice>
  </mc:AlternateContent>
  <xr:revisionPtr revIDLastSave="0" documentId="13_ncr:1_{9B471F4B-5643-417E-A9A5-2B877405D3FA}" xr6:coauthVersionLast="47" xr6:coauthVersionMax="47" xr10:uidLastSave="{00000000-0000-0000-0000-000000000000}"/>
  <bookViews>
    <workbookView xWindow="-120" yWindow="-120" windowWidth="20730" windowHeight="11160" xr2:uid="{3E7DF2C2-E00D-4BFE-AB96-3D35665BC879}"/>
  </bookViews>
  <sheets>
    <sheet name="CT" sheetId="1" r:id="rId1"/>
    <sheet name="TỶ LỆ THU HỒI CÔNG NỢ" sheetId="2" r:id="rId2"/>
  </sheets>
  <definedNames>
    <definedName name="_xlnm._FilterDatabase" localSheetId="0" hidden="1">CT!$A$1:$M$205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7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5" i="1"/>
  <c r="I126" i="1"/>
  <c r="I127" i="1"/>
  <c r="I128" i="1"/>
  <c r="I129" i="1"/>
  <c r="I130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4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9" i="1"/>
  <c r="I200" i="1"/>
  <c r="I201" i="1"/>
  <c r="I202" i="1"/>
  <c r="I203" i="1"/>
  <c r="I204" i="1"/>
  <c r="I205" i="1"/>
  <c r="I2" i="1"/>
  <c r="B3" i="2"/>
  <c r="B5" i="2" s="1"/>
  <c r="E198" i="1"/>
  <c r="I198" i="1" s="1"/>
  <c r="F198" i="1"/>
  <c r="G198" i="1"/>
  <c r="H198" i="1"/>
  <c r="H3" i="2"/>
  <c r="H5" i="2" s="1"/>
  <c r="F3" i="2"/>
  <c r="F5" i="2" s="1"/>
  <c r="D3" i="2"/>
  <c r="D5" i="2" s="1"/>
  <c r="F206" i="1" l="1"/>
  <c r="E206" i="1"/>
  <c r="H185" i="1"/>
  <c r="I185" i="1" s="1"/>
  <c r="H155" i="1"/>
  <c r="I155" i="1" s="1"/>
  <c r="G153" i="1"/>
  <c r="I153" i="1" s="1"/>
  <c r="H131" i="1"/>
  <c r="I131" i="1" s="1"/>
  <c r="G124" i="1"/>
  <c r="H107" i="1"/>
  <c r="I107" i="1" s="1"/>
  <c r="H83" i="1"/>
  <c r="H206" i="1" l="1"/>
  <c r="I83" i="1"/>
  <c r="G206" i="1"/>
  <c r="I124" i="1"/>
  <c r="I206" i="1" l="1"/>
</calcChain>
</file>

<file path=xl/sharedStrings.xml><?xml version="1.0" encoding="utf-8"?>
<sst xmlns="http://schemas.openxmlformats.org/spreadsheetml/2006/main" count="1313" uniqueCount="826">
  <si>
    <t>STT</t>
  </si>
  <si>
    <t>Tên khách hàng</t>
  </si>
  <si>
    <t>T12</t>
  </si>
  <si>
    <t>T1</t>
  </si>
  <si>
    <t>T2</t>
  </si>
  <si>
    <t>T3</t>
  </si>
  <si>
    <t>TỔNG</t>
  </si>
  <si>
    <t>BC thu nợ</t>
  </si>
  <si>
    <t>NHÂN VIÊN THU NỢ</t>
  </si>
  <si>
    <t>LÝ DO</t>
  </si>
  <si>
    <t>GHI CHÚ</t>
  </si>
  <si>
    <t>K006033325</t>
  </si>
  <si>
    <t>HỘI NGƯỜI CAO TUỔI THÀNH PHỐ HUẾ</t>
  </si>
  <si>
    <t>Nhân viên thu nợ</t>
  </si>
  <si>
    <t>KHL</t>
  </si>
  <si>
    <t>ĐÃ BÁO CÔNG NỢ KH, KH BÁO ĐANG LÀM THANH TOÁN</t>
  </si>
  <si>
    <t>NỢ HĐ T12: 221.388, NỢ HĐ T1: 63.504, NỢ HĐ T2: 504.360, NỢ HĐ T3: 88.992</t>
  </si>
  <si>
    <t>K006269073</t>
  </si>
  <si>
    <t>Hồ Thị Thanh Vân</t>
  </si>
  <si>
    <t>TMDT</t>
  </si>
  <si>
    <t>KH ĐẾN LẤY COD TIỀN MẶT, CẤN TRỪ CƯỚC KHI THANH TOÁN COD</t>
  </si>
  <si>
    <t>K0100111948-021</t>
  </si>
  <si>
    <t>Ngân hàng TMCP Công thương Việt Nam- chi nhánh Huế</t>
  </si>
  <si>
    <t>KH CHUYỂN KHOẢN CƯỚC BƯU ĐIỆN, ĐANG LÀM THANH TOÁN T3 (ĐÃ NHẮC CÔNG NỢ)</t>
  </si>
  <si>
    <t>NỢ HĐ T3: 6.368.328</t>
  </si>
  <si>
    <t>K0100150619-032</t>
  </si>
  <si>
    <t>Ngân hàng TMCP Đầu tư và phát triển Việt Nam - CN Huế</t>
  </si>
  <si>
    <t>NỢ HĐ T3: 2.353.968</t>
  </si>
  <si>
    <t>K0100686174-188</t>
  </si>
  <si>
    <t>Ngân hàng nông nghiệp và phát triển nông thôn Việt Nam - Chi nhánh Thành phố Huế</t>
  </si>
  <si>
    <t>NỢ HĐ T3: 5.896.219</t>
  </si>
  <si>
    <t>K0100686209-080</t>
  </si>
  <si>
    <t>MOBIFONE THÀNH PHỐ HUẾ - CÔNG TY DỊCH VỤ MOBIFONE KHU VỰC 3 - CHI NHÁNH TỔNG CÔNG TY VIỄN THÔNG MOBIFONE</t>
  </si>
  <si>
    <t>NỢ HĐ T3: 4.944.491</t>
  </si>
  <si>
    <t>K0101223413</t>
  </si>
  <si>
    <t>TRUNG TÂM NGOẠI NGỮ TINHOC ANPHA</t>
  </si>
  <si>
    <t>K0101567589-013</t>
  </si>
  <si>
    <t>Trung Tâm Truyền Hình Việt Nam Khu Vực Miền Trung-Tây Nguyên (VTV8)</t>
  </si>
  <si>
    <t>KH THANH TOÁN VÀO TÊN TÀI KHOẢN CŨ BƯU ĐIỆN NÊN BỊ TRẢ LẠI TIỀN, ĐANG LÀM THANH TOÁN LẠI (ĐÃ NHẮC CÔNG NỢ)</t>
  </si>
  <si>
    <t>NỢ HĐ T12: 127.008</t>
  </si>
  <si>
    <t>K0102095427-004</t>
  </si>
  <si>
    <t>HỌC VIỆN HÀNH CHÍNH CƠ SỞ KV MIỀN TRUNG</t>
  </si>
  <si>
    <t>NỢ HĐ T3: 565.704, DƯ CÓ: 33.074</t>
  </si>
  <si>
    <t>K0102610438-001</t>
  </si>
  <si>
    <t>Chi Nhánh Công Ty Cổ Phần Tư Vấn - Dịch Vụ Về Tài Sản - Bất Động Sản Datc Tại Thành Phố Huế</t>
  </si>
  <si>
    <t>C NGA THU NỢ</t>
  </si>
  <si>
    <t>KH CHỊ NGA THU TIỀN MẶT</t>
  </si>
  <si>
    <t>NỢ HĐ T3: 160.380</t>
  </si>
  <si>
    <t>K0102743068006-</t>
  </si>
  <si>
    <t>Công Ty Truyền Tải Điện 2- Truyền Tải Điện Thừa Thiên Huế</t>
  </si>
  <si>
    <t>NỢ HĐ T3: 137.916</t>
  </si>
  <si>
    <t>K0106657525-001</t>
  </si>
  <si>
    <t>CHI NHÁNH CÔNG TY TNHH THƯƠNG MẠI VÀ DU LỊCH BẠN ĐỒNG HÀNH TẠI HUẾ</t>
  </si>
  <si>
    <t>NỢ HĐ T3: 200.475</t>
  </si>
  <si>
    <t>K0106884817-010</t>
  </si>
  <si>
    <t>VNPT NET 3</t>
  </si>
  <si>
    <t>NỢ HĐ T3: 3.073.565</t>
  </si>
  <si>
    <t>K0109097046</t>
  </si>
  <si>
    <t>Báo Thiếu Niên Tiền Phong Và Nhi Đồng</t>
  </si>
  <si>
    <t>NỢ HĐ T3: 103.086</t>
  </si>
  <si>
    <t>K0161001762-64</t>
  </si>
  <si>
    <t>Võ Thị Hoài</t>
  </si>
  <si>
    <t>K016128870</t>
  </si>
  <si>
    <t>Trầm Hương Anh Tài</t>
  </si>
  <si>
    <t>NỢ T3: 2.033.403</t>
  </si>
  <si>
    <t>K0200124891-037</t>
  </si>
  <si>
    <t>Ngân Hàng Thương Mại Cổ Phần Hàng Hải Việt Nam - Chi Nhánh Huế</t>
  </si>
  <si>
    <t>K0301442379-031</t>
  </si>
  <si>
    <t>Ngân Hàng TNHH MTV Số VIKKI - Chi Nhánh Thành Phố Huế</t>
  </si>
  <si>
    <t>NỢ T3: 710.154</t>
  </si>
  <si>
    <t>K0301452948-022-01</t>
  </si>
  <si>
    <t>Ngân Hàng Thương Mại Cổ Phần Á Châu - PGD Phú Hội</t>
  </si>
  <si>
    <t>NỢ T3: 96.687</t>
  </si>
  <si>
    <t>K0301452948-022-02</t>
  </si>
  <si>
    <t>Ngân Hàng Thương Mại Cổ Phần Á Châu - PGD An Cựu</t>
  </si>
  <si>
    <t>NỢ T3: 1.607.580</t>
  </si>
  <si>
    <t>K0302260501</t>
  </si>
  <si>
    <t>CT PHÁT TRIỂN PHẦN MỀM XD AUREOLE</t>
  </si>
  <si>
    <t>CÔNG NỢ XUẤT THIẾU T3, CHUYỂN T4 XUẤT HĐ MỚI THANH TOÁN</t>
  </si>
  <si>
    <t>K0303656263</t>
  </si>
  <si>
    <t>Công Ty TNHH Sông Hưng</t>
  </si>
  <si>
    <t>NỢ T3: 40.716 (KO XUẤT HĐ)</t>
  </si>
  <si>
    <t>K0315517881-001</t>
  </si>
  <si>
    <t>Công ty TNHH CubiCasa Việt Nam - Chi nhánh Thừa Thiên Huế</t>
  </si>
  <si>
    <t>NỢ HĐ T3: 6.100.070</t>
  </si>
  <si>
    <t>K033080010237</t>
  </si>
  <si>
    <t>Nguyễn Khắc Phương</t>
  </si>
  <si>
    <t>K0334150120</t>
  </si>
  <si>
    <t>Quỹ Phòng, Chống Thiên Tai Thành Phố Huế</t>
  </si>
  <si>
    <t>K0400370654-003</t>
  </si>
  <si>
    <t>Đài khí tượng thủy văn Trung Bộ - Đài khí tượng Huế</t>
  </si>
  <si>
    <t>ĐANG NHỜ KẾ TOÁN KTRA CÔNG NỢ T12: 214.164, KH BÁO ĐÃ CK THANH TOÁN RỒI (CÓ UNC CK), CHỈ CÒN NỢ T1 THANH TOÁN SÓT HĐ (ĐANG TRÌNH THANH TOÁN LẠI)</t>
  </si>
  <si>
    <t>NỢ HĐ T1: 136.728</t>
  </si>
  <si>
    <t>K0400370654-003-01</t>
  </si>
  <si>
    <t>Đài khí tượng thủy văn Trung Bộ - Trạm Khí Tượng Huế</t>
  </si>
  <si>
    <t>NỢ HĐ T3: 461.807 (ĐÀI KHÍ TƯỢNG)</t>
  </si>
  <si>
    <t>K0401297728-001</t>
  </si>
  <si>
    <t>Công Ty Luật TNHH LDL Chi Nhánh Huế</t>
  </si>
  <si>
    <t>NỢ HĐ T3: 218.160</t>
  </si>
  <si>
    <t>K040187035999</t>
  </si>
  <si>
    <t>Nguyễn Thị Hiền (Hiền Hàng Đức)</t>
  </si>
  <si>
    <t>K0441930033-56</t>
  </si>
  <si>
    <t>Hoàng Thị Hương Mai</t>
  </si>
  <si>
    <t>K044195000822</t>
  </si>
  <si>
    <t>Lê Thị Linh Giang</t>
  </si>
  <si>
    <t>K045096005522</t>
  </si>
  <si>
    <t>Phạm Phúc Hưng</t>
  </si>
  <si>
    <t>K045189007332</t>
  </si>
  <si>
    <t>SHOP GIA DỤNG TIỆN ÍCH( NGUYỄN THỊ NGUYỆT)</t>
  </si>
  <si>
    <t>K045192000518</t>
  </si>
  <si>
    <t>SHOP TIỆN ÍCH GIA ĐÌNH</t>
  </si>
  <si>
    <t>K046072000762</t>
  </si>
  <si>
    <t>Thái Việt Tuấn</t>
  </si>
  <si>
    <t>NỢ T3: 230.227</t>
  </si>
  <si>
    <t>K046083004732</t>
  </si>
  <si>
    <t>Xưởng Lồng Chim Tre Huế(Tô Hoàng Sơn Nhật)</t>
  </si>
  <si>
    <t>K046089008515</t>
  </si>
  <si>
    <t>Nguyễn Chánh Bảo Hiếu</t>
  </si>
  <si>
    <t>KH LẤY COD TM, SẼ THANH TOÁN CƯỚC 1 LẦN KHI LẤY COD</t>
  </si>
  <si>
    <t>NỢ T3: 76.935, NỢ T2: 117.288</t>
  </si>
  <si>
    <t>K046093016550</t>
  </si>
  <si>
    <t>Cao Thanh Danh</t>
  </si>
  <si>
    <t>K046172007182</t>
  </si>
  <si>
    <t>Công ty gia truyền Hồng Đức</t>
  </si>
  <si>
    <t>K046181010069</t>
  </si>
  <si>
    <t>MỸ PHẨM THIÊN NHIÊN TRÀ MY</t>
  </si>
  <si>
    <t>KH CK COD TRÊN SEABANK, SẼ CẤN TRỪ CƯỚC KHI CÓ COD</t>
  </si>
  <si>
    <t>K046181600492</t>
  </si>
  <si>
    <t>BY TRANG SHOP-TRẦN THỊ LỘC</t>
  </si>
  <si>
    <t>K046182013417</t>
  </si>
  <si>
    <t>Sương Lan ( Maries Showroom)</t>
  </si>
  <si>
    <t>K046184001356</t>
  </si>
  <si>
    <t>Shop Camry (Nguyễn Lê Yên Thủy)</t>
  </si>
  <si>
    <t>K046184004206</t>
  </si>
  <si>
    <t>Võ Ái Mai Hương</t>
  </si>
  <si>
    <t>K046184014766</t>
  </si>
  <si>
    <t>Gốm sứ Nhật Bản</t>
  </si>
  <si>
    <t>K046192000964</t>
  </si>
  <si>
    <t>Lê Thị Khánh Phương</t>
  </si>
  <si>
    <t>K046192003635</t>
  </si>
  <si>
    <t>CÔNG TY TNHH LOCK  LOCK HCM</t>
  </si>
  <si>
    <t>K046192011340</t>
  </si>
  <si>
    <t>Đào Thị Bích Ngọc</t>
  </si>
  <si>
    <t>K046192016217</t>
  </si>
  <si>
    <t>XƯỞNG HOÀNG QUÂN</t>
  </si>
  <si>
    <t>K046193008036</t>
  </si>
  <si>
    <t>Lê Thị Kiều Trang HT shop</t>
  </si>
  <si>
    <t>K046193012768</t>
  </si>
  <si>
    <t>Nguyễn Thị Như Thiện (Shop Chụm)</t>
  </si>
  <si>
    <t>K046194000245</t>
  </si>
  <si>
    <t>Trương Anh Thủy (Zet Trương)</t>
  </si>
  <si>
    <t>K046194009456</t>
  </si>
  <si>
    <t>Yến sào Anna</t>
  </si>
  <si>
    <t>K046194013795</t>
  </si>
  <si>
    <t>Võ Ngọc Hạ Uyên( Uyên Shoes)</t>
  </si>
  <si>
    <t>K046196014549</t>
  </si>
  <si>
    <t>Shop Thiên Phú - Lê Thị Thanh Lan</t>
  </si>
  <si>
    <t>K046301005954</t>
  </si>
  <si>
    <t>Trần Nữ Hồng Ngọc (Julie Store)</t>
  </si>
  <si>
    <t>K0905331535</t>
  </si>
  <si>
    <t>Aó dài Hồng Vân</t>
  </si>
  <si>
    <t>KH CÒN COD TIỀN MẶT CHƯA THANH TOÁN, KHI LẤY COD SẼ THANH TOÁN CƯỚC 1 LẦN</t>
  </si>
  <si>
    <t>K0914563999</t>
  </si>
  <si>
    <t>Nguyễn QUang Ngọc Trân</t>
  </si>
  <si>
    <t>K0945562552</t>
  </si>
  <si>
    <t>Trần Xuân Vũ</t>
  </si>
  <si>
    <t>KH THƯỜNG XUYÊN CHẬM THANH TOÁN, ĐÃ NHẮN NHẮC NHIỀU LẦN</t>
  </si>
  <si>
    <t>NỢ T1+T2+T3: 8.281.190</t>
  </si>
  <si>
    <t>K1068701</t>
  </si>
  <si>
    <t>Sở Nội Vụ</t>
  </si>
  <si>
    <t>KH CHUYỂN KHOẢN SAI TÊN ĐƠN VỊ THỤ HƯỞNG BƯU ĐIỆN, NÊN ĐANG LÀM THANH TOÁN LẠI (ĐÃ BÁO CÔNG NỢ KH)</t>
  </si>
  <si>
    <t>NỢ HĐ T1: 12.665.793, NỢ HĐ T2: 5.557.246</t>
  </si>
  <si>
    <t>K186482894</t>
  </si>
  <si>
    <t>Nguyễn Đức Hạnh</t>
  </si>
  <si>
    <t>K190028058</t>
  </si>
  <si>
    <t>Trần Minh Bôn</t>
  </si>
  <si>
    <t>K190060058</t>
  </si>
  <si>
    <t>Trần Thiên Thông</t>
  </si>
  <si>
    <t>K191254324</t>
  </si>
  <si>
    <t>Lê Thị Hường</t>
  </si>
  <si>
    <t>K191358651</t>
  </si>
  <si>
    <t>Nguyễn Văn Bình</t>
  </si>
  <si>
    <t>K191453043</t>
  </si>
  <si>
    <t>Huỳnh Văn Minh</t>
  </si>
  <si>
    <t>K191491387</t>
  </si>
  <si>
    <t>Lê Thị Thu Thủy</t>
  </si>
  <si>
    <t>K191502778</t>
  </si>
  <si>
    <t>Nguyễn Văn Phượng</t>
  </si>
  <si>
    <t>K191540493</t>
  </si>
  <si>
    <t>Cửa Hàng Xe Đạp GIANT</t>
  </si>
  <si>
    <t>K191558432</t>
  </si>
  <si>
    <t>Shop Valentine</t>
  </si>
  <si>
    <t>NỢ T3: 547.077</t>
  </si>
  <si>
    <t>K191608916</t>
  </si>
  <si>
    <t>Hà Thúc Nghĩa</t>
  </si>
  <si>
    <t>K191679409</t>
  </si>
  <si>
    <t>Nguyễn Thị Xuân Hiền ( she 1989)</t>
  </si>
  <si>
    <t>KH CK COD TRÊN SEABANK, SẼ CẤN TRỪ CƯỚC KHI CÓ COD (CÒN COD CHƯA TT)</t>
  </si>
  <si>
    <t>K191714533</t>
  </si>
  <si>
    <t>Shop Giày Dép Thái Lan - Bé Tâm</t>
  </si>
  <si>
    <t>K191734418</t>
  </si>
  <si>
    <t>Văn Anh</t>
  </si>
  <si>
    <t>K191784465</t>
  </si>
  <si>
    <t>Shop Balina</t>
  </si>
  <si>
    <t>K191816267</t>
  </si>
  <si>
    <t>Kính Mắt Long Hoàng Thành</t>
  </si>
  <si>
    <t>K191840365</t>
  </si>
  <si>
    <t>Mè Xững Thuận Thiên</t>
  </si>
  <si>
    <t>K191888323</t>
  </si>
  <si>
    <t>Nguyễn Thị Mỹ Châu</t>
  </si>
  <si>
    <t>K191891457</t>
  </si>
  <si>
    <t>Nguyễn Văn Tới</t>
  </si>
  <si>
    <t>K192070923</t>
  </si>
  <si>
    <t>Nguyễn Văn Linh</t>
  </si>
  <si>
    <t>K192181295</t>
  </si>
  <si>
    <t>Trung Tâm Ngoại Ngữ - Tin Học ICP</t>
  </si>
  <si>
    <t>ĐÃ BÁO NỢ KH, KH BÁO ĐÃ CK T12-T1 (ĐANG CHỜ XIN BILL CK ĐỂ ĐỐI CHIẾU)</t>
  </si>
  <si>
    <t>HĐ T12-T2: HĐ T3: 269.892</t>
  </si>
  <si>
    <t>K194065541</t>
  </si>
  <si>
    <t>Trần Thị Giang</t>
  </si>
  <si>
    <t>K197062927</t>
  </si>
  <si>
    <t>Shi Cát Tường</t>
  </si>
  <si>
    <t>K197231791</t>
  </si>
  <si>
    <t>Trang House</t>
  </si>
  <si>
    <t>K241673782</t>
  </si>
  <si>
    <t>Học viện đào tạo quốc tế ANI</t>
  </si>
  <si>
    <t>KH CẮT SỚM HĐ, CÒN THIẾU 136.728 ĐƯA VÀO CÔNG NỢ T4 (XUẤT HĐ T4)</t>
  </si>
  <si>
    <t>HĐ T3: 508.761, NỢ 136.728 (XUẤT VÀO T4)</t>
  </si>
  <si>
    <t>K2900325526-020</t>
  </si>
  <si>
    <t>NGÂN HÀNG THƯƠNG MẠI CỔ PHẦN BẮC Á - CHI NHÁNH HUẾ</t>
  </si>
  <si>
    <t>HĐ T3: 373.058</t>
  </si>
  <si>
    <t>K3200134983-002</t>
  </si>
  <si>
    <t>CHI NHÁNH CÔNG TY CỔ PHẦN BỐN PHƯƠNG</t>
  </si>
  <si>
    <t>HĐ T3: 71.982, NỢ 47.434 (XUẤT VÀO T4)</t>
  </si>
  <si>
    <t>K3300100071</t>
  </si>
  <si>
    <t>Chi Cục Quản Lý Đường Bộ II5</t>
  </si>
  <si>
    <t>HĐ T3: 123.363</t>
  </si>
  <si>
    <t>K3300100089</t>
  </si>
  <si>
    <t>LIÊN ĐOÀN LAO ĐỘNG THÀNH PHỐ HUẾ</t>
  </si>
  <si>
    <t>K3300100113</t>
  </si>
  <si>
    <t>Viễn Thông Huế - Chi Nhánh Tập Đoàn Bưu Chính Viễn Thông Việt Nam</t>
  </si>
  <si>
    <t>ĐANG ĐỐI CHIẾU DOANH THU LẠI VS KẾ TOÁN</t>
  </si>
  <si>
    <t>DT PS T3: 1.307.279 (3 MÃ), CÒN T3: 848.461 (KO PS DT TẠI BC), DT PS T2 (3 MÃ): 756.767</t>
  </si>
  <si>
    <t>K3300100307</t>
  </si>
  <si>
    <t>Đài Phát thanh và Truyền hình tỉnh Thừa Thiên Huế</t>
  </si>
  <si>
    <t>K3300100699</t>
  </si>
  <si>
    <t>Công Ty Cổ Phần Huetronics</t>
  </si>
  <si>
    <t>ĐANG LÀM THANH TOÁN LẠI T1, VÌ MỚI BỔ SUNG PHỤ LỤC THANH TOÁN CHẬM CƯỚC (GIA HẠN ĐẾN 30/04)</t>
  </si>
  <si>
    <t>HĐ T1: 4.882.520</t>
  </si>
  <si>
    <t>K3300100843</t>
  </si>
  <si>
    <t>CT CP Thanh tân Thùa Thiên Huế</t>
  </si>
  <si>
    <t>K3300101124-016</t>
  </si>
  <si>
    <t>KHÁCH SẠN HƯƠNG GIANG RESORT  SPA,CHI NHÁNH CÔNG TY CỔ PHẦN DU LỊCH HƯƠNG GIANG</t>
  </si>
  <si>
    <t>CÔNG NỢ CẮT SỚM, THIẾU T3: 48.600 (XUẤT VÀO T4), KH LÀM THANH TOÁN 2 THÁNG 1 LẦN</t>
  </si>
  <si>
    <t>HĐ T3: 186.408, XUẤT THIẾU 48.600</t>
  </si>
  <si>
    <t>K3300101276</t>
  </si>
  <si>
    <t>Công Ty Cổ Phần Tư Vấn Thiết Kế Giao Thông Thừa Thiên Huế</t>
  </si>
  <si>
    <t>KH CHUYỂN KHOẢN CƯỚC BƯU ĐIỆN, ĐANG LÀM THANH TOÁN LẠI (ĐÃ NHẮC CÔNG NỢ)</t>
  </si>
  <si>
    <t>NỢ HĐ T3: 71.550, NỢ HĐ T1: 73.872, NỢ HĐ T12: 90.072</t>
  </si>
  <si>
    <t>K3300103675</t>
  </si>
  <si>
    <t>Công Ty TNHH Một Thành Viên Khách Sạn Thanh Lịch</t>
  </si>
  <si>
    <t>THÁNG 12 KH ĐANG KHIẾU NẠI LÔ HÀNG CÓ THU HỘ SHIP: 1.890.373 BỊ VỠ (KH KO CHỊU THANH TOÁN CƯỚC)- C NGA THU NỢ TM</t>
  </si>
  <si>
    <t xml:space="preserve">HĐ T2: 31.752, HĐ T3: 205.956, THÁNG 12: XUẤT THIẾU 119.880 </t>
  </si>
  <si>
    <t>K3300269222</t>
  </si>
  <si>
    <t>SỞ Y TẾ THÀNH PHỐ HUẾ</t>
  </si>
  <si>
    <t>KH LÀM THANH TOÁN SÓT HOÁ ĐƠN, ĐANG LÀM THANH TOÁN LẠI</t>
  </si>
  <si>
    <t>HĐ T12: 739.152, HĐ T3: 428.569</t>
  </si>
  <si>
    <t>K3300269303-002</t>
  </si>
  <si>
    <t>Tạp Chí Nghiên Cứu Triển</t>
  </si>
  <si>
    <t>KH THANH TOÁN SÓT HĐ, HẸN LÀM THANH TOÁN LẠI (ĐANG NỢ HĐ T1: 1.610.138)</t>
  </si>
  <si>
    <t>HĐ T1: 1.610.138, NỢ 19.440 CHUYỂN T4 XUẤT HĐ</t>
  </si>
  <si>
    <t>K3300269328</t>
  </si>
  <si>
    <t>SỞ XÂY DỰNG THÀNH PHỐ HUẾ</t>
  </si>
  <si>
    <t>ĐANG BÁO KH KIỂM TRA LẠI T12+T1, KH CHUYỂN TIỀN ÍT HƠN SO VỚI HĐ (HĐ T1: 3.629.219, HĐ T12: 2.247.443, KH CK 2.058.000+2.248.000=4.306.000)</t>
  </si>
  <si>
    <t>NỢ HĐ T2: 756.288, T3: 1.118.340, HĐ T12: 2.247.443</t>
  </si>
  <si>
    <t>K3300269374</t>
  </si>
  <si>
    <t>CÔNG AN THÀNH PHỐ HUẾ</t>
  </si>
  <si>
    <t>HĐ T3: 48.122.740</t>
  </si>
  <si>
    <t>K3300269374-02</t>
  </si>
  <si>
    <t>Phòng Cảnh Sát Giao Thông - Công An Thành Phố Huế</t>
  </si>
  <si>
    <t>T1 XUẤT 2 HĐ NHƯNG CHỈ MỚI THANH TOÁN 1 HĐ, KHÁCH BÁO LÀM THANH TOÁN SÓT 1 HĐ</t>
  </si>
  <si>
    <t>HĐ T1+T3</t>
  </si>
  <si>
    <t>K3300269409-001</t>
  </si>
  <si>
    <t>Trung Tâm Điều Trị Theo Yêu Cầu Và Quốc Tế</t>
  </si>
  <si>
    <t>HĐ T3: 13.957.434</t>
  </si>
  <si>
    <t>K3300269409-02</t>
  </si>
  <si>
    <t>Bệnh Viện Trung Ương Huế - Phòng Văn Thư</t>
  </si>
  <si>
    <t>ĐANG ĐỐI CHIẾU T12 LẠI VS KẾ TOÁN</t>
  </si>
  <si>
    <t>HĐ T3: 2.982.231+1.981.503=4.963.734</t>
  </si>
  <si>
    <t>K3300269448</t>
  </si>
  <si>
    <t>Trường Cao Đẳng Huế</t>
  </si>
  <si>
    <t>HĐ T3: 1.633.993, DƯ 550.815</t>
  </si>
  <si>
    <t>K3300269504</t>
  </si>
  <si>
    <t>PHÒNG THI HÀNH ÁN DÂN SỰ KHU VỰC 4 - HUẾ</t>
  </si>
  <si>
    <t>HĐ T3: 1.025.046, DƯ 197.158</t>
  </si>
  <si>
    <t>K3300269568</t>
  </si>
  <si>
    <t>Công Ty Cổ Phần Đường Sắt Bình Trị Thiên</t>
  </si>
  <si>
    <t>C NGA THU CƯỚC TM</t>
  </si>
  <si>
    <t>HĐ T3: 1.617.616</t>
  </si>
  <si>
    <t>K3300272994</t>
  </si>
  <si>
    <t>Ban Quản Lý Dự Án Đầu Tư Xây Dựng Và Phát Triển Đô Thị Thành Phố Huế</t>
  </si>
  <si>
    <t>KH YÊU CẦU KÝ LẠI HỢP ĐỒNG MỚI 2026 NÊN CHẬM CHƯA THANH TOÁN, ĐANG LÀM THANH TOÁN LẠI</t>
  </si>
  <si>
    <t>hđ t1: 1.094.992, hđ t2: 494.956, HĐ T3: 810.303</t>
  </si>
  <si>
    <t>K3300275307</t>
  </si>
  <si>
    <t>Tạp chí Sông Hương</t>
  </si>
  <si>
    <t>XUẤT THIẾU T3 25.353, ĐƯA VÀO CÔNG NỢ T4 XUẤT HĐ KH MỚI THANH TOÁN</t>
  </si>
  <si>
    <t>K3300301388-01</t>
  </si>
  <si>
    <t>Phòng Quản lý xuất nhập cảnh - Công an Thành phố Huế</t>
  </si>
  <si>
    <t>K3300304646-01</t>
  </si>
  <si>
    <t>TRUNG TÂM DỊCH VỤ ĐỐI NGOẠI THÀNH PHỐ HUẾ</t>
  </si>
  <si>
    <t>HĐ T3: 116.802</t>
  </si>
  <si>
    <t>K3300314813</t>
  </si>
  <si>
    <t>Trường Cao Đẳng Du Lịch Huế</t>
  </si>
  <si>
    <t>HD T1+T2, HĐ T3: 2.086.702, CÒN NỢ 337.366 (XUẤT VÀO T3)</t>
  </si>
  <si>
    <t>K3300332379</t>
  </si>
  <si>
    <t>CÔNG TY TNHH MỘT THÀNH VIÊN THUẬN PHÁT</t>
  </si>
  <si>
    <t>HĐ T3: 589.575</t>
  </si>
  <si>
    <t>K3300337017</t>
  </si>
  <si>
    <t>HTX Vận Tải Ô Tô Thành Công</t>
  </si>
  <si>
    <t>HĐ T3: 46.413</t>
  </si>
  <si>
    <t>K3300337352</t>
  </si>
  <si>
    <t>TRUNG TÂM CÔNG NGHỆ THÔNG TIN THÀNH PHỐ HUẾ</t>
  </si>
  <si>
    <t>HĐ T3: 265.734 (VIỄN THÔNG) +83.403 ( cntt)</t>
  </si>
  <si>
    <t>K3300337634</t>
  </si>
  <si>
    <t>Bệnh Viện Răng Hàm Mặt Huế</t>
  </si>
  <si>
    <t xml:space="preserve">KH CHUYỂN KHOẢN CƯỚC BƯU ĐIỆN, ĐÃ NHẮN NHIỀU LẦN </t>
  </si>
  <si>
    <t>NỢ HĐ T12-T3</t>
  </si>
  <si>
    <t>K3300337641-002</t>
  </si>
  <si>
    <t>Chi Cục Thủy Lợi</t>
  </si>
  <si>
    <t>NỢ HĐ T3: 79.083</t>
  </si>
  <si>
    <t>K3300351269</t>
  </si>
  <si>
    <t>Trường Đại học Y- Dược, Đại học Huế</t>
  </si>
  <si>
    <t>KH CHUYỂN KHOẢN CƯỚC BƯU ĐIỆN, ĐANG LÀM THANH TOÁN T3 (ĐÃ NHẮC CÔNG NỢ), CÔNG NỢ CẮT SỚM CÒN XUẤT THIẾU 374.355 ĐƯA VÀO T4</t>
  </si>
  <si>
    <t>HĐ T3: 5.198.958, NỢ 374.355</t>
  </si>
  <si>
    <t>K3300353192</t>
  </si>
  <si>
    <t>Công Ty TNHH Hùng Vương Huế</t>
  </si>
  <si>
    <t>CÔNG NỢ CẮT SỚM, THIẾU T3: 64.125 (XUẤT VÀO T4), KH LÀM THANH TOÁN 1 LẦN</t>
  </si>
  <si>
    <t>K3300353682</t>
  </si>
  <si>
    <t>Viện Nghiên Cứu Phát Triển Tỉnh Thừa Thiên Huế</t>
  </si>
  <si>
    <t>KH ĐANG TRÌNH LÀM THANH TOÁN LẠI DO SÓT HÓA ĐƠN (ĐÃ BÁO CÔNG NỢ KH)</t>
  </si>
  <si>
    <t>HĐ T1: 553.392, HĐ T3: 796.176, treo mã tạm (VĂN Thị Phương Thảo): 47.952</t>
  </si>
  <si>
    <t>K3300353925</t>
  </si>
  <si>
    <t>Thư Viện Thành Phố Huế</t>
  </si>
  <si>
    <t>CÔNG NỢ CẮT SỚM, THIẾU T3: 10.692 (XUẤT VÀO T4), KH LÀM THANH TOÁN 1 LẦN</t>
  </si>
  <si>
    <t>K3300357408</t>
  </si>
  <si>
    <t>CÔNG TY TRÁCH NHIỆM HỮU HẠN THIÊN AN PHÚ</t>
  </si>
  <si>
    <t>KH YÊU CẦU LÀM PHỤ LỤC THANH TOÁN CHẬM VÀ BIÊN BẢN BÙ TRỪ CÔNG NỢ LIÊN QUA ĐẾN VIỆC ĐỀN BÙ 30% SỐ TIỀN TRỨNG VỠ (GIA HẠN ĐẾN 30/04 THANH TOÁN)</t>
  </si>
  <si>
    <t>K3300357905</t>
  </si>
  <si>
    <t>Công ty CP Tư vấn xây dựng Thừa Thiên Huế</t>
  </si>
  <si>
    <t>HĐ T3:144.450</t>
  </si>
  <si>
    <t>K3300358264-001</t>
  </si>
  <si>
    <t>CHI CỤC BẢO VỆ MÔI TRƯỜNG</t>
  </si>
  <si>
    <t>KH CHUYỂN KHOẢN CƯỚC BƯU ĐIỆN, ĐANG LÀM THANH TOÁN T1+T3 (ĐÃ NHẮC CÔNG NỢ)</t>
  </si>
  <si>
    <t>HĐ T3: 558.125, HĐ T1: 1.749.249, CÒN NỢ 12.960 (XUẤT VÀO T4)</t>
  </si>
  <si>
    <t>K3300360859</t>
  </si>
  <si>
    <t>Trường Đại Học Phú Xuân</t>
  </si>
  <si>
    <t>KH CHUYỂN KHOẢN CƯỚC BƯU ĐIỆN, ĐANG LÀM THANH TOÁNT3 (ĐÃ NHẮC CÔNG NỢ)</t>
  </si>
  <si>
    <t>HĐ T3: 2.500.651</t>
  </si>
  <si>
    <t>K3300360873</t>
  </si>
  <si>
    <t>Công Ty Cổ Phần Tư Vấn Đầu Tư Và Xây Dựng Thừa Thiên Huế</t>
  </si>
  <si>
    <t>HĐ T3: 470.826</t>
  </si>
  <si>
    <t>K3300363634</t>
  </si>
  <si>
    <t>CÔNG TY TNHH DU LỊCH MONDIAL - HUẾ</t>
  </si>
  <si>
    <t>HĐ T3: 64.800, DƯ 10.476</t>
  </si>
  <si>
    <t>K3300364395</t>
  </si>
  <si>
    <t>Công Ty TNHH Một Thành Viên Du Lịch Đống Đa</t>
  </si>
  <si>
    <t>C NGA THU CƯỚC TM, XUẤT THIẾU 47.925 (CHUYỂN NỢ T4)</t>
  </si>
  <si>
    <t>HĐ T3: 614.763, NỢ 47.925</t>
  </si>
  <si>
    <t>K3300368294</t>
  </si>
  <si>
    <t>VĂN PHÒNG ĐẠI HỌC HUẾ</t>
  </si>
  <si>
    <t>HĐ T3: 1.240.228</t>
  </si>
  <si>
    <t>K3300368294-005</t>
  </si>
  <si>
    <t>TRƯỜNG DU LỊCH - ĐẠI HỌC HUẾ</t>
  </si>
  <si>
    <t>KH CHUYỂN KHOẢN CƯỚC BƯU ĐIỆN, ĐANG LÀM THANH TOÁN (ĐÃ NHẮC CÔNG NỢ)</t>
  </si>
  <si>
    <t>HĐ T12-T3</t>
  </si>
  <si>
    <t>K3300368294-007</t>
  </si>
  <si>
    <t>VIỆN CHUYỂN ĐỔI SỐ VÀ HỌC LIỆU ĐẠI HỌC HUẾ</t>
  </si>
  <si>
    <t>NỢ HĐ T3: 540.756</t>
  </si>
  <si>
    <t>K3300368625</t>
  </si>
  <si>
    <t>Trường Đại Học Sư Phạm Huế</t>
  </si>
  <si>
    <t>KH THƯỜNG XUYÊN CHẬM THANH TOÁN (ĐÃ NHẮC NỢ NHIỀU LẦN)</t>
  </si>
  <si>
    <t>hđ t11: 3.452.652, hđ t12: 6.244.864, hđ t1: 6.766.092, hđ t2: 2.515.320, dư t12: 8 đồng, HĐ T3: 5.708.934+2.029.482=7.738.416</t>
  </si>
  <si>
    <t>K3300371480</t>
  </si>
  <si>
    <t>TRUNG TÂM GIÁO DỤC THƯỜNG XUYÊN THÀNH PHỐ HUẾ</t>
  </si>
  <si>
    <t>HĐ T3: 45.090, XUẤT THIẾU 18.819</t>
  </si>
  <si>
    <t>K3300371674</t>
  </si>
  <si>
    <t>SỞ GIÁO DỤC VÀ ĐÀO TẠO THÀNH PHỐ HUẾ</t>
  </si>
  <si>
    <t>HĐ T3: 1.281.674</t>
  </si>
  <si>
    <t>K3300371699</t>
  </si>
  <si>
    <t>Trường Trung Cấp Văn Hóa Nghệ Thuật Thừa Thiên Huế</t>
  </si>
  <si>
    <t>K3300372452</t>
  </si>
  <si>
    <t>Công ty cổ phần in Thuận Phát</t>
  </si>
  <si>
    <t>HĐ T3; 312.336, HĐ T2: 1.450.742</t>
  </si>
  <si>
    <t>K3300373512</t>
  </si>
  <si>
    <t>VĂN PHÒNG ĐĂNG KÝ ĐẤT ĐAI THÀNH PHỐ HUẾ</t>
  </si>
  <si>
    <t xml:space="preserve">KH CHUYỂN KHOẢN CƯỚC BƯU ĐIỆN, ĐANG TRÌNH LÀM THANH TOÁN </t>
  </si>
  <si>
    <t>K3300378542</t>
  </si>
  <si>
    <t>Nhà Xuất Bản Thuận Hóa</t>
  </si>
  <si>
    <t>KH BÁO THANH TOÁN SÓT HOÁ ĐƠN, ĐANG TRÌNH ĐỂ THANH TOÁN LẠI</t>
  </si>
  <si>
    <t>HĐ T12: 1.102.294</t>
  </si>
  <si>
    <t>K3300384602</t>
  </si>
  <si>
    <t>TRUNG TÂM TRỢ GIÚP PHÁP LÝ NHÀ NƯỚC THÀNH PHỐ HUẾ</t>
  </si>
  <si>
    <t>KH CK SAI TÊN ĐƠN VỊ THỤ HƯỞNG BƯU ĐIỆN NÊN BỊ TRẢ LẠI TIỀN, ĐANG LÀM THANH TOÁN LẠI</t>
  </si>
  <si>
    <t>HĐ T3: 27.378, HĐ T11+T12: 198.720</t>
  </si>
  <si>
    <t>K3300407722</t>
  </si>
  <si>
    <t>Trường Cao Đẳng Công Nghiệp Huế</t>
  </si>
  <si>
    <t>hđ t2: 575.100, HĐ T3: 2.131.902</t>
  </si>
  <si>
    <t>K3300407722-02</t>
  </si>
  <si>
    <t>Trường Cao Đẳng Công Nghiệp Huế -Trung Tâm Tuyển Sinh</t>
  </si>
  <si>
    <t>K3300424333</t>
  </si>
  <si>
    <t>Công Ty TNHH Hồng Phú</t>
  </si>
  <si>
    <t>KH CHỐT HĐ SỚM, XUẤT THIẾU T3 81.090, ĐƯA VÀO CÔNG NỢ T4 XUẤT HĐ (C NGA THU TM)</t>
  </si>
  <si>
    <t>K3300483956</t>
  </si>
  <si>
    <t>TRUNG TÂM HOẠT ĐỘNG THANH THIẾU NHI THÀNH PHỐ HUẾ</t>
  </si>
  <si>
    <t>CHỊ NGA THU CƯỚC TM</t>
  </si>
  <si>
    <t>HĐ T3: 1.087.965</t>
  </si>
  <si>
    <t>K3300484364</t>
  </si>
  <si>
    <t>BỘ CHỈ HUY BỘ ĐỘI BIÊN PHÒNG THÀNH PHỐ HUẾ</t>
  </si>
  <si>
    <t>K3300495510</t>
  </si>
  <si>
    <t>HỘI LIÊN HIỆP PHỤ NỮ THÀNH PHỐ HUẾ</t>
  </si>
  <si>
    <t>HĐ T3: 110.025</t>
  </si>
  <si>
    <t>K3300498416</t>
  </si>
  <si>
    <t>Phòng giao dịch số 12 - kho bạc nhà nước khu vực XII</t>
  </si>
  <si>
    <t>HĐ T3: 1.576.244, DƯ 61.609</t>
  </si>
  <si>
    <t>K3300510582</t>
  </si>
  <si>
    <t>CHI CỤC KIỂM LÂM</t>
  </si>
  <si>
    <t>KH BÁO VỐN NGÂN SÁCH ĐẦU NĂM CHƯA CÓ NÊN THANH TOÁN CHẬM</t>
  </si>
  <si>
    <t>hđ t1+hđ t2: 276.073, HĐ T3: 214.493</t>
  </si>
  <si>
    <t>K3300511071</t>
  </si>
  <si>
    <t>Công ty cổ phần Bệnh Viện Đa Khoa Hoàng Viết Thắng</t>
  </si>
  <si>
    <t>KH CHỐT SỚM HĐ, XUẤT THIẾU 25.650 ĐƯA VÀO CÔNG NỢ T4, KH ĐANG LÀM THANH TOÁN (C NGA THU TM)</t>
  </si>
  <si>
    <t>HĐ T3: 752.625, XUẤT THIẾU 25.650</t>
  </si>
  <si>
    <t>K3300530525</t>
  </si>
  <si>
    <t>Học Viện Âm Nhạc Huế</t>
  </si>
  <si>
    <t>KH LÀM THANH TOÁN CHẬM (KH THƯỜNG THANH TOÁN THEO QUÝ)</t>
  </si>
  <si>
    <t>hđ t1: 1.191.996, hđ t1: 548.316, HĐ T3: 1.519.722</t>
  </si>
  <si>
    <t>K3300544983</t>
  </si>
  <si>
    <t>Quỹ hỗ trợ nông dân Thành Phố Huế</t>
  </si>
  <si>
    <t>HĐ T3: 3.247.308</t>
  </si>
  <si>
    <t>K3300620433</t>
  </si>
  <si>
    <t>SỞ NGOẠI VỤ THÀNH PHỐ HUẾ</t>
  </si>
  <si>
    <t>KH BÁO LÀM THANH TOÁN SÓT HĐ T2, ĐANG TRÌNH ĐỂ THANH TOÁN LẠI</t>
  </si>
  <si>
    <t>HĐ T2: 657.031</t>
  </si>
  <si>
    <t>K3300620458</t>
  </si>
  <si>
    <t>BQL DỰ ÁN ĐẦU TƯ XÂY DỰNG CÔNG TRÌNH GIAO THÔNG THÀNH PHỐ HUẾ</t>
  </si>
  <si>
    <t>HĐ T3: 492.264</t>
  </si>
  <si>
    <t>K3300635648</t>
  </si>
  <si>
    <t>LIÊN MINH HỢP TÁC XÃ THÀNH PHỐ HUẾ</t>
  </si>
  <si>
    <t>KH CHUYỂN SÓT THÁNG 1, ĐANG LÀM THANH TOÁN LẠI</t>
  </si>
  <si>
    <t>HĐ T1: 2.454.518</t>
  </si>
  <si>
    <t>K3300688500</t>
  </si>
  <si>
    <t>HỘI CỰU CHIẾN BINH THÀNH PHỐ HUẾ</t>
  </si>
  <si>
    <t>HĐ T12: 663.913</t>
  </si>
  <si>
    <t>K3300754927</t>
  </si>
  <si>
    <t>Phân viện Văn hóa, Nghệ thuật, Thể thao và Du lịch miền Trung</t>
  </si>
  <si>
    <t>HĐ T3: 465.615</t>
  </si>
  <si>
    <t>K3300795232</t>
  </si>
  <si>
    <t>Bảo Hiểm Xã Hội Thành Phố Huế</t>
  </si>
  <si>
    <t>KH CHUYỂN KHOẢN CƯỚC BƯU ĐIỆN, ĐANG LÀM THANH TOÁN</t>
  </si>
  <si>
    <t>hđ t1: 5.743.199, hđ t2: 1.592.016, còn HĐ T3: 8.154.570. treo mã tạm (VĂN THỊ PHƯƠNG THẢO): 574.291</t>
  </si>
  <si>
    <t>K3300828304</t>
  </si>
  <si>
    <t>ĐANG ĐỐI CHIẾU LẠI VỚI KẾ TOÁN</t>
  </si>
  <si>
    <t>K3300883312</t>
  </si>
  <si>
    <t>Nhà thuốc Tân Thanh Hải</t>
  </si>
  <si>
    <t>K3300887959</t>
  </si>
  <si>
    <t>Công Ty Trách Nhiệm Hữu Hạn Một Thành Viên Anh Dũng</t>
  </si>
  <si>
    <t>HĐ T3: 321.732</t>
  </si>
  <si>
    <t>K3300973284</t>
  </si>
  <si>
    <t>CÔNG TY TNHH THƯƠNG MẠI VÀ DỊCH VỤ LC</t>
  </si>
  <si>
    <t>HĐ T3: 155.790</t>
  </si>
  <si>
    <t>K3301044528-005</t>
  </si>
  <si>
    <t>Ban Tuyên Giáo và Dân Vận Thành Uỷ</t>
  </si>
  <si>
    <t>KHOẢN T2: 226.546 (KH BÁO SẼ TT RIÊNG TIỀN MẶT), CÒN T3 ĐANG CHỜ KÝ LẠI HỢP ĐỒNG SẼ TT</t>
  </si>
  <si>
    <t xml:space="preserve">HĐ T3: 25.873.189, T2: 226.546 </t>
  </si>
  <si>
    <t>K3301044528-006</t>
  </si>
  <si>
    <t>ĐẢNG ỦY CÁC CƠ QUAN ĐẢNG THÀNH PHỐ HUẾ</t>
  </si>
  <si>
    <t>KH CHUYỂN KHOẢN CƯỚC BƯU ĐIỆN, ĐANG LÀM THANH TOÁN T2+T3 (ĐÃ NHẮC CÔNG NỢ)</t>
  </si>
  <si>
    <t>hđ t2: 447.422, HĐ T3: 1.663.275</t>
  </si>
  <si>
    <t>K3301068656</t>
  </si>
  <si>
    <t>Công Ty Cổ Phần Dược Phẩm Và Thiết Bị Y Tế Tâm Đức</t>
  </si>
  <si>
    <t>HĐ T3: 345.612, THIẾU 485 ĐỒNG</t>
  </si>
  <si>
    <t>K3301154792</t>
  </si>
  <si>
    <t>Ủy Ban Mặt Trận Tổ Quốc Việt Nam Thành Phố Huế</t>
  </si>
  <si>
    <t>KH THANH TOÁN SÓT HĐ T2: 884.750, ĐANG LÀM TT HĐ T3</t>
  </si>
  <si>
    <t>K3301202372</t>
  </si>
  <si>
    <t>Ban Dân Tộc - Tôn giáo</t>
  </si>
  <si>
    <t>HĐ T3: 396.309</t>
  </si>
  <si>
    <t>K3301202397</t>
  </si>
  <si>
    <t>Ban Thi đua - Khen thưởng thành phố Huế</t>
  </si>
  <si>
    <t>HĐ T3: 1.622.997</t>
  </si>
  <si>
    <t>K3301202534</t>
  </si>
  <si>
    <t>Liên đoàn Bóng đá Na Uy</t>
  </si>
  <si>
    <t>KH CHUYỂN KHOẢN CƯỚC BƯU ĐIỆN, ĐANG LÀM THANH TOÁN T1+T2 (ĐÃ NHẮC CÔNG NỢ)</t>
  </si>
  <si>
    <t>hđ t1: 636.952, hđ t2: 208.008</t>
  </si>
  <si>
    <t>K3301203464</t>
  </si>
  <si>
    <t>Đoàn TNCS Hồ Chí Minh Thành Phố Huế</t>
  </si>
  <si>
    <t xml:space="preserve"> KH CẦN XUẤT HĐ LẠI T12, NÊN MỚI XUẤT LẠI VÀO T4, ĐANG TRÌNH THANH TOÁN LẠI 1 LẦN</t>
  </si>
  <si>
    <t>HĐ T12: 1.703.524, T2: 249.935, HĐ T3: 17.280</t>
  </si>
  <si>
    <t>K3301498264</t>
  </si>
  <si>
    <t>Quỹ Bảo Vệ Môi Trường</t>
  </si>
  <si>
    <t>KH ĐANG CHỜ KẾ HOẠCH PHÊ DUYỆT KINH PHÍ CỦA UỶ BAN (ĐÃ BÁO CÔNG NỢ)</t>
  </si>
  <si>
    <t>HĐ T12: 523.337</t>
  </si>
  <si>
    <t>K3301520985</t>
  </si>
  <si>
    <t>Công Ty Trách Nhiệm Hữu Hạn Thương Mại Du Lịch Bầu Trời Phương Đông</t>
  </si>
  <si>
    <t>KH CHUYỂN KHOẢN SÓT HĐ T1, ĐANG LÀM THANH TOÁN LẠI</t>
  </si>
  <si>
    <t>HĐ T1: 558.672</t>
  </si>
  <si>
    <t>K3301522654</t>
  </si>
  <si>
    <t>Công Ty Cổ Phần Tín Thành Đạt</t>
  </si>
  <si>
    <t>K3301524549</t>
  </si>
  <si>
    <t>BAN NỘI CHÍNH THÀNH ỦY HUẾ</t>
  </si>
  <si>
    <t>XUẤT THIẾU T3 65.880, ĐƯA VÀO CÔNG NỢ T4 XUẤT HĐ KH MỚI THANH TOÁN</t>
  </si>
  <si>
    <t>K3301547426</t>
  </si>
  <si>
    <t>Tinh dầu Kim Vui</t>
  </si>
  <si>
    <t>K3301549582</t>
  </si>
  <si>
    <t>Công Ty Cổ Phần Taxi TC Huế</t>
  </si>
  <si>
    <t>K3301586104-001</t>
  </si>
  <si>
    <t>VĂN PHÒNG ĐĂNG KÝ ĐẤT ĐAI QUẬN THUẬN HÓA</t>
  </si>
  <si>
    <t>HĐ T3: 486.610, HĐ T2: 156.654</t>
  </si>
  <si>
    <t>K3301586104-02</t>
  </si>
  <si>
    <t>CHI NHÁNH VĂN PHÒNG ĐĂNG KÝ ĐẤT ĐAI KHU VỰC PHÚ XUÂN</t>
  </si>
  <si>
    <t>HĐ T2: 357.264, HĐ T3: 468.936</t>
  </si>
  <si>
    <t>K3301591249</t>
  </si>
  <si>
    <t>Sở Du Lịch</t>
  </si>
  <si>
    <t>HĐ T3: 635.865</t>
  </si>
  <si>
    <t>K3301628234</t>
  </si>
  <si>
    <t>Công Ty TNHH Vật Tư Thiết Bị Y Tế Nam Sông Hương</t>
  </si>
  <si>
    <t>K3301629580-01</t>
  </si>
  <si>
    <t>Hiệp Hội Doanh Nghiệp Thành Phố Huế</t>
  </si>
  <si>
    <t xml:space="preserve">XUẤT THIẾU T3: 27.010 ĐƯA VÀO CÔNG NỢ T4 XUẤT HĐ </t>
  </si>
  <si>
    <t>K3301633227</t>
  </si>
  <si>
    <t>Bộ Chỉ Huy Quân Sự Thành Phố Huế</t>
  </si>
  <si>
    <t>K3301644363</t>
  </si>
  <si>
    <t>Viện Quy Hoạch Xây Dựng</t>
  </si>
  <si>
    <t>K3301647188</t>
  </si>
  <si>
    <t>TRUNG TÂM NGOẠI NGỮ VÀ TIN HỌC ALPHA</t>
  </si>
  <si>
    <t>K3301647572</t>
  </si>
  <si>
    <t>Công Ty Cổ Phần Tập Đoàn Ân Nam</t>
  </si>
  <si>
    <t>C NGA THU TM, ĐANG ĐIẾU CHIẾU LẠI VỚI KẾ TOÁN T1</t>
  </si>
  <si>
    <t>HĐ T3: 329.319</t>
  </si>
  <si>
    <t>K3301654932</t>
  </si>
  <si>
    <t>Công Ty TNHH DSMART</t>
  </si>
  <si>
    <t>KH BÁO T3 ÍT QUÁ NÊN GỘP T4 XUẤT HĐ 1 LẦN RỒI THANH TOÁN</t>
  </si>
  <si>
    <t>K3301675530</t>
  </si>
  <si>
    <t>TRUNG TÂM KHỞI NGHIỆP ĐỔI MỚI SÁNG TẠO THÀNH PHỐ HUẾ</t>
  </si>
  <si>
    <t>KH CHỐT SỚM HĐ, CHUYỂN NỢ VÀO T4 XUẤT HĐ MỚI THANH TOÁN 1 LẦN</t>
  </si>
  <si>
    <t>K3301680146</t>
  </si>
  <si>
    <t>CÔNG TY ĐẤU GIÁ HỢP DANH SỐ 2 STC</t>
  </si>
  <si>
    <t>HĐ T3: 1.500.128</t>
  </si>
  <si>
    <t>K3301689861</t>
  </si>
  <si>
    <t>CHI NHÁNH CÔNG TY TNHH DU LỊCH THÀNH THÀNH CÔNG LÂM ĐỒNG - TTC IMPERIAL HOTEL</t>
  </si>
  <si>
    <t>KH CHỐT CÔNG NỢ SỚM, XUẤT THIẾU 51.342 ĐƯA VÀO CÔNG NỢ T4</t>
  </si>
  <si>
    <t>K3301702350</t>
  </si>
  <si>
    <t>CÔNG TY TNHH BẢO KHÁNH HƯNG</t>
  </si>
  <si>
    <t>HĐ T3: 663.579</t>
  </si>
  <si>
    <t>K3301723751</t>
  </si>
  <si>
    <t>Trịnh Nguyễn Trâm Anh</t>
  </si>
  <si>
    <t>K3301724516</t>
  </si>
  <si>
    <t>Công Ty TNHH Công Nghệ Và Thương Mại ALUFA</t>
  </si>
  <si>
    <t>KH CHUYỂN KHOẢN CƯỚC BƯU ĐIỆN, ĐANG LÀM THANH TOÁN 3 THÁNG (ĐÃ NHẮC CÔNG NỢ)</t>
  </si>
  <si>
    <t>hđ t11: 22.680, hđ t1: 35.640, HĐ T3: 59.292</t>
  </si>
  <si>
    <t>K3301736889</t>
  </si>
  <si>
    <t>VIỆN KIỂM SÁT NHÂN DÂN KV2 HUẾ</t>
  </si>
  <si>
    <t>HĐ T3: 494.993</t>
  </si>
  <si>
    <t>K3301737297</t>
  </si>
  <si>
    <t>CHI CỤC THI HÀNH ÁN DÂN SỰ QUẬN PHÚ XUÂN</t>
  </si>
  <si>
    <t>HĐ T3: 1.025.046</t>
  </si>
  <si>
    <t>K3301737441-01</t>
  </si>
  <si>
    <t>VĂN PHÒNG QUẬN ỦY PHÚ XUÂN</t>
  </si>
  <si>
    <t>KH CHUYỂN KHOẢN CƯỚC BƯU ĐIỆN, ĐANG LÀM THANH TOÁN 4 THÁNG (ĐÃ NHẮC CÔNG NỢ)</t>
  </si>
  <si>
    <t>hđ t12+t1+t2+T3</t>
  </si>
  <si>
    <t>K3301737522</t>
  </si>
  <si>
    <t>TÒA ÁN NHÂN DÂN QUẬN PHÚ XUÂN</t>
  </si>
  <si>
    <t>XUẤT THIẾU T3: 206.414 ĐƯA VÀO CÔNG NỢ T4 XUẤT HĐ</t>
  </si>
  <si>
    <t>K3301739985</t>
  </si>
  <si>
    <t>CÔNG AN PHƯỜNG THUẬN HÓA</t>
  </si>
  <si>
    <t>CHỊ NGA THU CƯỚC TM (KH BÁO MỚI ĐẾN LẤY TIỀN)</t>
  </si>
  <si>
    <t>HĐ T3: 3.470.622, DƯ 58.077</t>
  </si>
  <si>
    <t>K3301745759</t>
  </si>
  <si>
    <t>Đảng Ủy Phường Thuận Hóa</t>
  </si>
  <si>
    <t>KH ĐANG TRÌNH LÀM THANH TOÁN (ĐÃ BÁO CÔNG NỢ CHƯA TT)</t>
  </si>
  <si>
    <t>HĐ T1: 571.110; HĐ T2: 327.606, HĐ T3: 449.169</t>
  </si>
  <si>
    <t>K3301746580</t>
  </si>
  <si>
    <t>Đảng Ủy Phường Mỹ Thượng</t>
  </si>
  <si>
    <t>KH THANH TOÁN SÓT 2 HĐ T11+T12 VÌ LÀM MẤT HĐ (ĐÃ GỬI LẠI HĐ ĐỂ KH THANH TOÁN LẠI)</t>
  </si>
  <si>
    <t>K4700006</t>
  </si>
  <si>
    <t>Văn Thị Phương Thảo</t>
  </si>
  <si>
    <t>KH KO CÓ HỢP ĐỒNG</t>
  </si>
  <si>
    <t>K47002-HNM</t>
  </si>
  <si>
    <t>HỘI NGƯỜI MÙ THÀNH PHỐ HUẾ</t>
  </si>
  <si>
    <t>KH ĐÃ TRÌNH THANH TOÁN, ĐANG ĐỢI KẾ TOÁN CHUYỂN</t>
  </si>
  <si>
    <t>HĐ T3: 106.945</t>
  </si>
  <si>
    <t>K47700084</t>
  </si>
  <si>
    <t>Nguyễn Thị Hoà</t>
  </si>
  <si>
    <t>K5600128057-026</t>
  </si>
  <si>
    <t>KHÁCH SẠN MƯỜNG THANH HOLIDAY HUẾ - CHI NHÁNH CÔNG TY CỔ PHẦN TẬP ĐOÀN MƯỜNG THANH</t>
  </si>
  <si>
    <t>C NGA THU CƯỚC TM (KHI NÀO KHÁCH HÀNG BÁO MỚI ĐẾN THU CƯỚC VÌ ĐỢI KT RA PHIẾU)</t>
  </si>
  <si>
    <t>HĐ T3; 858.249</t>
  </si>
  <si>
    <t>K6300048638-026</t>
  </si>
  <si>
    <t>NGÂN HÀNG THƯƠNG MẠI CỔ PHẦN LỘC PHÁT VIỆT NAM - CHI NHÁNH HUẾ</t>
  </si>
  <si>
    <t>HĐ T2+HĐ T3: 461.808</t>
  </si>
  <si>
    <t>K8545841291</t>
  </si>
  <si>
    <t>Lê Thị Như Ngọc</t>
  </si>
  <si>
    <t>K8614874822</t>
  </si>
  <si>
    <t>Lê Thị Hạnh</t>
  </si>
  <si>
    <t>KC006314033</t>
  </si>
  <si>
    <t>Hoàng Ngọc Điệp</t>
  </si>
  <si>
    <t>THÁNG 12.2025</t>
  </si>
  <si>
    <t>THÁNG 1.2026</t>
  </si>
  <si>
    <t>THÁNG 2.2026</t>
  </si>
  <si>
    <t>THÁNG 3.2026</t>
  </si>
  <si>
    <t>TỔNG CÔNG NỢ PHÁT SINH T12.2025:</t>
  </si>
  <si>
    <t>TỔNG CÔNG NỢ PHÁT SINH T1.2026:</t>
  </si>
  <si>
    <t>TỔNG CÔNG NỢ PHÁT SINH T2.2026:</t>
  </si>
  <si>
    <t>TỔNG CÔNG NỢ ĐÃ THU HỒI T12.2025:</t>
  </si>
  <si>
    <t>TỔNG CÔNG NỢ ĐÃ THU HỒI T1.2026:</t>
  </si>
  <si>
    <t>TỔNG CÔNG NỢ ĐÃ THU HỒI T2.2026:</t>
  </si>
  <si>
    <t>TỔNG CÔNG NỢ CHƯA THU HỒI T12.2025:</t>
  </si>
  <si>
    <t>TỔNG CÔNG NỢ CHƯA THU HỒI T1.2026:</t>
  </si>
  <si>
    <t>TỔNG CÔNG NỢ CHƯA THU HỒI T2.2026:</t>
  </si>
  <si>
    <t>TỶ LỆ THU HỒI CÔNG NỢ T12.2025:</t>
  </si>
  <si>
    <t>TỶ LỆ THU HỒI CÔNG NỢ T1.2026:</t>
  </si>
  <si>
    <t>TỶ LỆ THU HỒI CÔNG NỢ T2.2026:</t>
  </si>
  <si>
    <t>TỔNG CÔNG NỢ PHÁT SINH T3.2026:</t>
  </si>
  <si>
    <t>TỔNG CÔNG NỢ ĐÃ THU HỒI T3.2026:</t>
  </si>
  <si>
    <t>TỔNG CÔNG NỢ CHƯA THU HỒI T3.2026:</t>
  </si>
  <si>
    <t>TỔNG SỐ KH CẦN THU NỢ: 22 KHÁCH HÀNG</t>
  </si>
  <si>
    <t>TỔNG SỐ KH CẦN THU NỢ: 28 KHÁCH HÀNG</t>
  </si>
  <si>
    <t>TỔNG SỐ KH CẦN THU NỢ: 36 KHÁCH HÀNG</t>
  </si>
  <si>
    <t>TỔNG SỐ KH CẦN THU NỢ: 129 KHÁCH HÀNG</t>
  </si>
  <si>
    <t>TỶ LỆ THU HỒI CÔNG NỢ T3.2026:</t>
  </si>
  <si>
    <t>T006034325</t>
  </si>
  <si>
    <t>C006269073</t>
  </si>
  <si>
    <t>T001460564</t>
  </si>
  <si>
    <t>T001460357</t>
  </si>
  <si>
    <t>T001571525</t>
  </si>
  <si>
    <t>T017820265</t>
  </si>
  <si>
    <t>T001799715</t>
  </si>
  <si>
    <t>T001799701</t>
  </si>
  <si>
    <t>T005576951</t>
  </si>
  <si>
    <t>C005647635</t>
  </si>
  <si>
    <t>C016128870</t>
  </si>
  <si>
    <t>T016996328</t>
  </si>
  <si>
    <t>T015018609</t>
  </si>
  <si>
    <t>T015094769</t>
  </si>
  <si>
    <t>T004809694</t>
  </si>
  <si>
    <t>T001571636</t>
  </si>
  <si>
    <t>T017818641</t>
  </si>
  <si>
    <t>T001800342</t>
  </si>
  <si>
    <t>C001905816</t>
  </si>
  <si>
    <t>T001800311</t>
  </si>
  <si>
    <t>C001396543</t>
  </si>
  <si>
    <t>C015084466</t>
  </si>
  <si>
    <t>C007027691</t>
  </si>
  <si>
    <t>C016642798</t>
  </si>
  <si>
    <t>C015750005</t>
  </si>
  <si>
    <t>C001395724</t>
  </si>
  <si>
    <t>C001849938</t>
  </si>
  <si>
    <t>C001396265</t>
  </si>
  <si>
    <t>C001396375</t>
  </si>
  <si>
    <t>C001396185</t>
  </si>
  <si>
    <t>C001395667</t>
  </si>
  <si>
    <t>C001397380</t>
  </si>
  <si>
    <t>C001572764</t>
  </si>
  <si>
    <t>C002098912</t>
  </si>
  <si>
    <t>C001396044</t>
  </si>
  <si>
    <t>C001980750</t>
  </si>
  <si>
    <t>T004535111</t>
  </si>
  <si>
    <t>T001800299</t>
  </si>
  <si>
    <t>C008099765</t>
  </si>
  <si>
    <t>T001800634</t>
  </si>
  <si>
    <t>T002055280</t>
  </si>
  <si>
    <t>T001799746</t>
  </si>
  <si>
    <t>T001800435</t>
  </si>
  <si>
    <t>T001776436</t>
  </si>
  <si>
    <t>T001571477</t>
  </si>
  <si>
    <t>T001800095</t>
  </si>
  <si>
    <t>T001800078</t>
  </si>
  <si>
    <t>T001460652 </t>
  </si>
  <si>
    <t>T001460670</t>
  </si>
  <si>
    <t>T001873407</t>
  </si>
  <si>
    <t>T008182383</t>
  </si>
  <si>
    <t>C001572702</t>
  </si>
  <si>
    <t>T001571565</t>
  </si>
  <si>
    <t>T008223304</t>
  </si>
  <si>
    <t>C016719188</t>
  </si>
  <si>
    <t>T001399377</t>
  </si>
  <si>
    <t>T005939761</t>
  </si>
  <si>
    <t>C008000531</t>
  </si>
  <si>
    <t>T001456539</t>
  </si>
  <si>
    <t>T001799587</t>
  </si>
  <si>
    <t>T018161034</t>
  </si>
  <si>
    <t>T001800943</t>
  </si>
  <si>
    <t>T017751009</t>
  </si>
  <si>
    <t>T001800705</t>
  </si>
  <si>
    <t>T001456485</t>
  </si>
  <si>
    <t>T001460706</t>
  </si>
  <si>
    <t>T002508060</t>
  </si>
  <si>
    <t>C001572870</t>
  </si>
  <si>
    <t>T004498039</t>
  </si>
  <si>
    <t>T005837714</t>
  </si>
  <si>
    <t>T001460462</t>
  </si>
  <si>
    <t>T001399465</t>
  </si>
  <si>
    <t>T001800890</t>
  </si>
  <si>
    <t>T001800356</t>
  </si>
  <si>
    <t>T001800869</t>
  </si>
  <si>
    <t>T007042915</t>
  </si>
  <si>
    <t>C006897630</t>
  </si>
  <si>
    <t>C015014743</t>
  </si>
  <si>
    <t>T001460286</t>
  </si>
  <si>
    <t>T001431735</t>
  </si>
  <si>
    <t>T001409370</t>
  </si>
  <si>
    <t>T001460326</t>
  </si>
  <si>
    <t>T001399350</t>
  </si>
  <si>
    <t>T001799794</t>
  </si>
  <si>
    <t>T001460476</t>
  </si>
  <si>
    <t>T001456454</t>
  </si>
  <si>
    <t>T001460459</t>
  </si>
  <si>
    <t>T001399482</t>
  </si>
  <si>
    <t>T001571579</t>
  </si>
  <si>
    <t>T001799975</t>
  </si>
  <si>
    <t>T001399540</t>
  </si>
  <si>
    <t>T001399403</t>
  </si>
  <si>
    <t>T001873574</t>
  </si>
  <si>
    <t>T001799919</t>
  </si>
  <si>
    <t>LIÊN HIỆP CÁC HỘI VĂN HỌC NGHỆ THUẬT THÀNH PHỐ HUẾ</t>
  </si>
  <si>
    <t>T001799851</t>
  </si>
  <si>
    <t>T002046005</t>
  </si>
  <si>
    <t>T017178152</t>
  </si>
  <si>
    <t>T001800855</t>
  </si>
  <si>
    <t>T001460241</t>
  </si>
  <si>
    <t>T002046328</t>
  </si>
  <si>
    <t>T001799998</t>
  </si>
  <si>
    <t>T001800149</t>
  </si>
  <si>
    <t>T001800824</t>
  </si>
  <si>
    <t>T002045985</t>
  </si>
  <si>
    <t>T001460198</t>
  </si>
  <si>
    <t>C016854510</t>
  </si>
  <si>
    <t>T001800206</t>
  </si>
  <si>
    <t>T005740009 </t>
  </si>
  <si>
    <t>T017696024</t>
  </si>
  <si>
    <t>T001800625</t>
  </si>
  <si>
    <t>T001800912</t>
  </si>
  <si>
    <t>T004848857</t>
  </si>
  <si>
    <t>T004897380</t>
  </si>
  <si>
    <t>T004601924</t>
  </si>
  <si>
    <t>C017469610</t>
  </si>
  <si>
    <t>T017102732</t>
  </si>
  <si>
    <t>T017959834</t>
  </si>
  <si>
    <t>T017129474</t>
  </si>
  <si>
    <t>T018131528</t>
  </si>
  <si>
    <t>T017963710</t>
  </si>
  <si>
    <t>T001799560</t>
  </si>
  <si>
    <t>T004771225</t>
  </si>
  <si>
    <t>T001460710</t>
  </si>
  <si>
    <t>MÃ KH</t>
  </si>
  <si>
    <t>MÃ NỢ</t>
  </si>
  <si>
    <t>T005002520</t>
  </si>
  <si>
    <t>C006314033</t>
  </si>
  <si>
    <t>C007125597</t>
  </si>
  <si>
    <t>C007142706</t>
  </si>
  <si>
    <t>C006342706</t>
  </si>
  <si>
    <t>T000216639</t>
  </si>
  <si>
    <t>C007970486</t>
  </si>
  <si>
    <t>T001800237</t>
  </si>
  <si>
    <t>C005443527</t>
  </si>
  <si>
    <t>C017064226</t>
  </si>
  <si>
    <t>C015225141</t>
  </si>
  <si>
    <t>C005179561</t>
  </si>
  <si>
    <t>C007583399</t>
  </si>
  <si>
    <t>C006804615</t>
  </si>
  <si>
    <t>C017239568</t>
  </si>
  <si>
    <t>C019272527</t>
  </si>
  <si>
    <t>C016676085</t>
  </si>
  <si>
    <t>C007260107</t>
  </si>
  <si>
    <t>C006941007</t>
  </si>
  <si>
    <t>C001397570</t>
  </si>
  <si>
    <t>C006741558</t>
  </si>
  <si>
    <t>C017842243</t>
  </si>
  <si>
    <t>C017242933</t>
  </si>
  <si>
    <t>T016968392</t>
  </si>
  <si>
    <t>C017854649</t>
  </si>
  <si>
    <t>C015003051</t>
  </si>
  <si>
    <t>C007962051</t>
  </si>
  <si>
    <t>C016556811</t>
  </si>
  <si>
    <t>C017532122</t>
  </si>
  <si>
    <t>C016609973</t>
  </si>
  <si>
    <t>C005962371</t>
  </si>
  <si>
    <t>C001792558</t>
  </si>
  <si>
    <t>C002499955</t>
  </si>
  <si>
    <t>C005527403</t>
  </si>
  <si>
    <t>C004037200</t>
  </si>
  <si>
    <t>C001811654</t>
  </si>
  <si>
    <t>C006722735</t>
  </si>
  <si>
    <t>C019468838</t>
  </si>
  <si>
    <t>C001882721</t>
  </si>
  <si>
    <t>C002055130</t>
  </si>
  <si>
    <t>C001395715</t>
  </si>
  <si>
    <t>T002046115</t>
  </si>
  <si>
    <t>T001571551</t>
  </si>
  <si>
    <t>T001800682</t>
  </si>
  <si>
    <t>T001799729</t>
  </si>
  <si>
    <t>T001460405</t>
  </si>
  <si>
    <t>T004325740</t>
  </si>
  <si>
    <t>T001456511</t>
  </si>
  <si>
    <t>T001800413</t>
  </si>
  <si>
    <t>C007351514</t>
  </si>
  <si>
    <t>C007367219</t>
  </si>
  <si>
    <t>T004915667</t>
  </si>
  <si>
    <t>T001460255</t>
  </si>
  <si>
    <t>T001800254</t>
  </si>
  <si>
    <t>T001800767</t>
  </si>
  <si>
    <t>T017959613</t>
  </si>
  <si>
    <t>C018195832 </t>
  </si>
  <si>
    <t xml:space="preserve">T005013465 </t>
  </si>
  <si>
    <t>C006221478</t>
  </si>
  <si>
    <t>C017185119</t>
  </si>
  <si>
    <t>C001396631</t>
  </si>
  <si>
    <t>C006635165 </t>
  </si>
  <si>
    <t>T015643911</t>
  </si>
  <si>
    <t>C001395525</t>
  </si>
  <si>
    <t>C005046049</t>
  </si>
  <si>
    <t>T015898324</t>
  </si>
  <si>
    <t>C001572866</t>
  </si>
  <si>
    <t>T001460175</t>
  </si>
  <si>
    <t>T002346588</t>
  </si>
  <si>
    <t>KHÔNG CÓ MÃ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</si>
</sst>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5"/>
      <color rgb="FFFF0000"/>
      <name val="Arial"/>
      <family val="2"/>
    </font>
    <font>
      <b/>
      <sz val="2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0" borderId="0" xfId="0" applyFont="1"/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8" fillId="0" borderId="1" xfId="0" applyFont="1" applyBorder="1"/>
    <xf numFmtId="10" fontId="8" fillId="0" borderId="1" xfId="1" applyNumberFormat="1" applyFont="1" applyBorder="1"/>
    <xf numFmtId="3" fontId="4" fillId="2" borderId="1" xfId="0" applyNumberFormat="1" applyFont="1" applyFill="1" applyBorder="1" applyAlignment="1">
      <alignment vertical="center"/>
    </xf>
    <xf numFmtId="0" fontId="3" fillId="0" borderId="0" xfId="0" applyFont="1"/>
    <xf numFmtId="3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A58C-739E-41AB-9B74-C199CA6CC8DE}">
  <dimension ref="A1:M207"/>
  <sheetViews>
    <sheetView tabSelected="1" topLeftCell="A195" workbookViewId="0">
      <selection activeCell="D201" sqref="D201"/>
    </sheetView>
  </sheetViews>
  <sheetFormatPr defaultRowHeight="15" x14ac:dyDescent="0.25"/>
  <cols>
    <col min="1" max="1" width="5.7109375" style="21" customWidth="1"/>
    <col min="2" max="2" width="24.85546875" style="21" customWidth="1"/>
    <col min="3" max="3" width="31.7109375" style="24" customWidth="1"/>
    <col min="4" max="4" width="63.42578125" style="24" customWidth="1"/>
    <col min="5" max="8" width="31.7109375" customWidth="1"/>
    <col min="9" max="9" width="31.7109375" style="18" customWidth="1"/>
    <col min="10" max="13" width="31.7109375" customWidth="1"/>
  </cols>
  <sheetData>
    <row r="1" spans="1:13" s="25" customFormat="1" x14ac:dyDescent="0.25">
      <c r="A1" s="1" t="s">
        <v>0</v>
      </c>
      <c r="B1" s="1" t="s">
        <v>754</v>
      </c>
      <c r="C1" s="1" t="s">
        <v>755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1" t="s">
        <v>7</v>
      </c>
      <c r="K1" s="1" t="s">
        <v>8</v>
      </c>
      <c r="L1" s="3" t="s">
        <v>9</v>
      </c>
      <c r="M1" s="3" t="s">
        <v>10</v>
      </c>
    </row>
    <row r="2" spans="1:13" ht="38.25" x14ac:dyDescent="0.25">
      <c r="A2" s="1">
        <v>1</v>
      </c>
      <c r="B2" s="1" t="s">
        <v>630</v>
      </c>
      <c r="C2" s="22" t="s">
        <v>11</v>
      </c>
      <c r="D2" s="22" t="s">
        <v>12</v>
      </c>
      <c r="E2" s="5">
        <v>221388</v>
      </c>
      <c r="F2" s="5">
        <v>63504</v>
      </c>
      <c r="G2" s="5">
        <v>504360</v>
      </c>
      <c r="H2" s="5">
        <v>88992</v>
      </c>
      <c r="I2" s="17">
        <f>E2+F2+G2+H2</f>
        <v>878244</v>
      </c>
      <c r="J2" s="4" t="s">
        <v>13</v>
      </c>
      <c r="K2" s="4" t="s">
        <v>14</v>
      </c>
      <c r="L2" s="6" t="s">
        <v>15</v>
      </c>
      <c r="M2" s="6" t="s">
        <v>16</v>
      </c>
    </row>
    <row r="3" spans="1:13" ht="38.25" x14ac:dyDescent="0.25">
      <c r="A3" s="1">
        <v>2</v>
      </c>
      <c r="B3" s="1" t="s">
        <v>631</v>
      </c>
      <c r="C3" s="22" t="s">
        <v>17</v>
      </c>
      <c r="D3" s="22" t="s">
        <v>18</v>
      </c>
      <c r="E3" s="5">
        <v>0</v>
      </c>
      <c r="F3" s="5">
        <v>0</v>
      </c>
      <c r="G3" s="5"/>
      <c r="H3" s="5">
        <v>20000</v>
      </c>
      <c r="I3" s="17">
        <f t="shared" ref="I3:I66" si="0">E3+F3+G3+H3</f>
        <v>20000</v>
      </c>
      <c r="J3" s="4" t="s">
        <v>19</v>
      </c>
      <c r="K3" s="4" t="s">
        <v>14</v>
      </c>
      <c r="L3" s="6" t="s">
        <v>20</v>
      </c>
      <c r="M3" s="6"/>
    </row>
    <row r="4" spans="1:13" ht="38.25" x14ac:dyDescent="0.25">
      <c r="A4" s="1">
        <v>3</v>
      </c>
      <c r="B4" s="1" t="s">
        <v>632</v>
      </c>
      <c r="C4" s="22" t="s">
        <v>21</v>
      </c>
      <c r="D4" s="22" t="s">
        <v>22</v>
      </c>
      <c r="E4" s="5">
        <v>0</v>
      </c>
      <c r="F4" s="5">
        <v>0</v>
      </c>
      <c r="G4" s="5">
        <v>0</v>
      </c>
      <c r="H4" s="5">
        <v>6368328</v>
      </c>
      <c r="I4" s="17">
        <f t="shared" si="0"/>
        <v>6368328</v>
      </c>
      <c r="J4" s="4" t="s">
        <v>13</v>
      </c>
      <c r="K4" s="4" t="s">
        <v>14</v>
      </c>
      <c r="L4" s="6" t="s">
        <v>23</v>
      </c>
      <c r="M4" s="6" t="s">
        <v>24</v>
      </c>
    </row>
    <row r="5" spans="1:13" ht="38.25" x14ac:dyDescent="0.25">
      <c r="A5" s="1">
        <v>4</v>
      </c>
      <c r="B5" s="1" t="s">
        <v>633</v>
      </c>
      <c r="C5" s="22" t="s">
        <v>25</v>
      </c>
      <c r="D5" s="22" t="s">
        <v>26</v>
      </c>
      <c r="E5" s="5">
        <v>0</v>
      </c>
      <c r="F5" s="5">
        <v>0</v>
      </c>
      <c r="G5" s="5">
        <v>0</v>
      </c>
      <c r="H5" s="5">
        <v>2353968</v>
      </c>
      <c r="I5" s="17">
        <f t="shared" si="0"/>
        <v>2353968</v>
      </c>
      <c r="J5" s="4" t="s">
        <v>13</v>
      </c>
      <c r="K5" s="4" t="s">
        <v>14</v>
      </c>
      <c r="L5" s="6" t="s">
        <v>23</v>
      </c>
      <c r="M5" s="6" t="s">
        <v>27</v>
      </c>
    </row>
    <row r="6" spans="1:13" ht="38.25" x14ac:dyDescent="0.25">
      <c r="A6" s="1">
        <v>5</v>
      </c>
      <c r="B6" s="1" t="s">
        <v>634</v>
      </c>
      <c r="C6" s="22" t="s">
        <v>28</v>
      </c>
      <c r="D6" s="22" t="s">
        <v>29</v>
      </c>
      <c r="E6" s="5">
        <v>0</v>
      </c>
      <c r="F6" s="5">
        <v>0</v>
      </c>
      <c r="G6" s="5">
        <v>0</v>
      </c>
      <c r="H6" s="5">
        <v>5896219</v>
      </c>
      <c r="I6" s="17">
        <f t="shared" si="0"/>
        <v>5896219</v>
      </c>
      <c r="J6" s="4" t="s">
        <v>13</v>
      </c>
      <c r="K6" s="4" t="s">
        <v>14</v>
      </c>
      <c r="L6" s="6" t="s">
        <v>23</v>
      </c>
      <c r="M6" s="6" t="s">
        <v>30</v>
      </c>
    </row>
    <row r="7" spans="1:13" ht="38.25" x14ac:dyDescent="0.25">
      <c r="A7" s="1">
        <v>6</v>
      </c>
      <c r="B7" s="1" t="s">
        <v>761</v>
      </c>
      <c r="C7" s="22" t="s">
        <v>31</v>
      </c>
      <c r="D7" s="22" t="s">
        <v>32</v>
      </c>
      <c r="E7" s="5">
        <v>0</v>
      </c>
      <c r="F7" s="5">
        <v>0</v>
      </c>
      <c r="G7" s="5">
        <v>0</v>
      </c>
      <c r="H7" s="5"/>
      <c r="I7" s="17">
        <f t="shared" si="0"/>
        <v>0</v>
      </c>
      <c r="J7" s="4" t="s">
        <v>13</v>
      </c>
      <c r="K7" s="4" t="s">
        <v>14</v>
      </c>
      <c r="L7" s="6" t="s">
        <v>23</v>
      </c>
      <c r="M7" s="6" t="s">
        <v>33</v>
      </c>
    </row>
    <row r="8" spans="1:13" x14ac:dyDescent="0.25">
      <c r="A8" s="1">
        <v>7</v>
      </c>
      <c r="B8" s="1" t="s">
        <v>762</v>
      </c>
      <c r="C8" s="22" t="s">
        <v>34</v>
      </c>
      <c r="D8" s="22" t="s">
        <v>35</v>
      </c>
      <c r="E8" s="5">
        <v>0</v>
      </c>
      <c r="F8" s="5">
        <v>0</v>
      </c>
      <c r="G8" s="5">
        <v>0</v>
      </c>
      <c r="H8" s="5">
        <v>0</v>
      </c>
      <c r="I8" s="17">
        <f t="shared" si="0"/>
        <v>0</v>
      </c>
      <c r="J8" s="4" t="s">
        <v>13</v>
      </c>
      <c r="K8" s="4" t="s">
        <v>14</v>
      </c>
      <c r="L8" s="6">
        <v>5304</v>
      </c>
      <c r="M8" s="6"/>
    </row>
    <row r="9" spans="1:13" ht="51" x14ac:dyDescent="0.25">
      <c r="A9" s="1">
        <v>8</v>
      </c>
      <c r="B9" s="1" t="s">
        <v>763</v>
      </c>
      <c r="C9" s="22" t="s">
        <v>36</v>
      </c>
      <c r="D9" s="22" t="s">
        <v>37</v>
      </c>
      <c r="E9" s="5">
        <v>127008</v>
      </c>
      <c r="F9" s="5">
        <v>0</v>
      </c>
      <c r="G9" s="5">
        <v>0</v>
      </c>
      <c r="H9" s="5">
        <v>0</v>
      </c>
      <c r="I9" s="17">
        <f t="shared" si="0"/>
        <v>127008</v>
      </c>
      <c r="J9" s="4" t="s">
        <v>13</v>
      </c>
      <c r="K9" s="4" t="s">
        <v>14</v>
      </c>
      <c r="L9" s="6" t="s">
        <v>38</v>
      </c>
      <c r="M9" s="6" t="s">
        <v>39</v>
      </c>
    </row>
    <row r="10" spans="1:13" ht="38.25" x14ac:dyDescent="0.25">
      <c r="A10" s="1">
        <v>9</v>
      </c>
      <c r="B10" s="1" t="s">
        <v>635</v>
      </c>
      <c r="C10" s="22" t="s">
        <v>40</v>
      </c>
      <c r="D10" s="22" t="s">
        <v>41</v>
      </c>
      <c r="E10" s="5">
        <v>0</v>
      </c>
      <c r="F10" s="5">
        <v>0</v>
      </c>
      <c r="G10" s="5">
        <v>0</v>
      </c>
      <c r="H10" s="5">
        <v>532630</v>
      </c>
      <c r="I10" s="17">
        <f t="shared" si="0"/>
        <v>532630</v>
      </c>
      <c r="J10" s="4" t="s">
        <v>13</v>
      </c>
      <c r="K10" s="4" t="s">
        <v>14</v>
      </c>
      <c r="L10" s="6" t="s">
        <v>23</v>
      </c>
      <c r="M10" s="6" t="s">
        <v>42</v>
      </c>
    </row>
    <row r="11" spans="1:13" x14ac:dyDescent="0.25">
      <c r="A11" s="1">
        <v>10</v>
      </c>
      <c r="B11" s="1" t="s">
        <v>636</v>
      </c>
      <c r="C11" s="22" t="s">
        <v>43</v>
      </c>
      <c r="D11" s="22" t="s">
        <v>44</v>
      </c>
      <c r="E11" s="5">
        <v>0</v>
      </c>
      <c r="F11" s="5">
        <v>0</v>
      </c>
      <c r="G11" s="5">
        <v>0</v>
      </c>
      <c r="H11" s="5">
        <v>160380</v>
      </c>
      <c r="I11" s="17">
        <f t="shared" si="0"/>
        <v>160380</v>
      </c>
      <c r="J11" s="4" t="s">
        <v>13</v>
      </c>
      <c r="K11" s="4" t="s">
        <v>45</v>
      </c>
      <c r="L11" s="6" t="s">
        <v>46</v>
      </c>
      <c r="M11" s="6" t="s">
        <v>47</v>
      </c>
    </row>
    <row r="12" spans="1:13" ht="38.25" x14ac:dyDescent="0.25">
      <c r="A12" s="1">
        <v>11</v>
      </c>
      <c r="B12" s="1" t="s">
        <v>637</v>
      </c>
      <c r="C12" s="22" t="s">
        <v>48</v>
      </c>
      <c r="D12" s="22" t="s">
        <v>49</v>
      </c>
      <c r="E12" s="5">
        <v>0</v>
      </c>
      <c r="F12" s="5">
        <v>0</v>
      </c>
      <c r="G12" s="5">
        <v>0</v>
      </c>
      <c r="H12" s="5">
        <v>137916</v>
      </c>
      <c r="I12" s="17">
        <f t="shared" si="0"/>
        <v>137916</v>
      </c>
      <c r="J12" s="4" t="s">
        <v>13</v>
      </c>
      <c r="K12" s="4" t="s">
        <v>14</v>
      </c>
      <c r="L12" s="6" t="s">
        <v>23</v>
      </c>
      <c r="M12" s="6" t="s">
        <v>50</v>
      </c>
    </row>
    <row r="13" spans="1:13" ht="38.25" x14ac:dyDescent="0.25">
      <c r="A13" s="1">
        <v>12</v>
      </c>
      <c r="B13" s="1" t="s">
        <v>638</v>
      </c>
      <c r="C13" s="22" t="s">
        <v>51</v>
      </c>
      <c r="D13" s="22" t="s">
        <v>52</v>
      </c>
      <c r="E13" s="5">
        <v>0</v>
      </c>
      <c r="F13" s="5">
        <v>0</v>
      </c>
      <c r="G13" s="5">
        <v>0</v>
      </c>
      <c r="H13" s="5">
        <v>200475</v>
      </c>
      <c r="I13" s="17">
        <f t="shared" si="0"/>
        <v>200475</v>
      </c>
      <c r="J13" s="4" t="s">
        <v>13</v>
      </c>
      <c r="K13" s="4" t="s">
        <v>14</v>
      </c>
      <c r="L13" s="6" t="s">
        <v>23</v>
      </c>
      <c r="M13" s="6" t="s">
        <v>53</v>
      </c>
    </row>
    <row r="14" spans="1:13" ht="38.25" x14ac:dyDescent="0.25">
      <c r="A14" s="1">
        <v>13</v>
      </c>
      <c r="B14" s="1" t="s">
        <v>639</v>
      </c>
      <c r="C14" s="22" t="s">
        <v>54</v>
      </c>
      <c r="D14" s="22" t="s">
        <v>55</v>
      </c>
      <c r="E14" s="5">
        <v>0</v>
      </c>
      <c r="F14" s="5">
        <v>0</v>
      </c>
      <c r="G14" s="5">
        <v>0</v>
      </c>
      <c r="H14" s="5">
        <v>2499716</v>
      </c>
      <c r="I14" s="17">
        <f t="shared" si="0"/>
        <v>2499716</v>
      </c>
      <c r="J14" s="4" t="s">
        <v>13</v>
      </c>
      <c r="K14" s="4" t="s">
        <v>14</v>
      </c>
      <c r="L14" s="6" t="s">
        <v>23</v>
      </c>
      <c r="M14" s="6" t="s">
        <v>56</v>
      </c>
    </row>
    <row r="15" spans="1:13" ht="38.25" x14ac:dyDescent="0.25">
      <c r="A15" s="1">
        <v>14</v>
      </c>
      <c r="B15" s="1" t="s">
        <v>825</v>
      </c>
      <c r="C15" s="22" t="s">
        <v>57</v>
      </c>
      <c r="D15" s="22" t="s">
        <v>58</v>
      </c>
      <c r="E15" s="5">
        <v>0</v>
      </c>
      <c r="F15" s="5">
        <v>0</v>
      </c>
      <c r="G15" s="5">
        <v>0</v>
      </c>
      <c r="H15" s="5">
        <v>103086</v>
      </c>
      <c r="I15" s="17">
        <f t="shared" si="0"/>
        <v>103086</v>
      </c>
      <c r="J15" s="4" t="s">
        <v>13</v>
      </c>
      <c r="K15" s="4" t="s">
        <v>14</v>
      </c>
      <c r="L15" s="6" t="s">
        <v>23</v>
      </c>
      <c r="M15" s="6" t="s">
        <v>59</v>
      </c>
    </row>
    <row r="16" spans="1:13" x14ac:dyDescent="0.25">
      <c r="A16" s="1">
        <v>15</v>
      </c>
      <c r="B16" s="1" t="s">
        <v>764</v>
      </c>
      <c r="C16" s="22" t="s">
        <v>60</v>
      </c>
      <c r="D16" s="22" t="s">
        <v>61</v>
      </c>
      <c r="E16" s="5">
        <v>0</v>
      </c>
      <c r="F16" s="5">
        <v>0</v>
      </c>
      <c r="G16" s="5">
        <v>0</v>
      </c>
      <c r="H16" s="5">
        <v>0</v>
      </c>
      <c r="I16" s="17">
        <f t="shared" si="0"/>
        <v>0</v>
      </c>
      <c r="J16" s="4" t="s">
        <v>19</v>
      </c>
      <c r="K16" s="4" t="s">
        <v>14</v>
      </c>
      <c r="L16" s="6">
        <v>5304</v>
      </c>
      <c r="M16" s="6"/>
    </row>
    <row r="17" spans="1:13" ht="38.25" x14ac:dyDescent="0.25">
      <c r="A17" s="1">
        <v>16</v>
      </c>
      <c r="B17" s="1" t="s">
        <v>640</v>
      </c>
      <c r="C17" s="22" t="s">
        <v>62</v>
      </c>
      <c r="D17" s="22" t="s">
        <v>63</v>
      </c>
      <c r="E17" s="5">
        <v>0</v>
      </c>
      <c r="F17" s="5">
        <v>0</v>
      </c>
      <c r="G17" s="5">
        <v>0</v>
      </c>
      <c r="H17" s="5">
        <v>2033403</v>
      </c>
      <c r="I17" s="17">
        <f t="shared" si="0"/>
        <v>2033403</v>
      </c>
      <c r="J17" s="4" t="s">
        <v>19</v>
      </c>
      <c r="K17" s="4" t="s">
        <v>14</v>
      </c>
      <c r="L17" s="6" t="s">
        <v>23</v>
      </c>
      <c r="M17" s="6" t="s">
        <v>64</v>
      </c>
    </row>
    <row r="18" spans="1:13" ht="38.25" x14ac:dyDescent="0.25">
      <c r="A18" s="1">
        <v>17</v>
      </c>
      <c r="B18" s="1" t="s">
        <v>756</v>
      </c>
      <c r="C18" s="22" t="s">
        <v>65</v>
      </c>
      <c r="D18" s="22" t="s">
        <v>66</v>
      </c>
      <c r="E18" s="5">
        <v>0</v>
      </c>
      <c r="F18" s="5">
        <v>0</v>
      </c>
      <c r="G18" s="5">
        <v>1083242</v>
      </c>
      <c r="H18" s="5">
        <v>44964</v>
      </c>
      <c r="I18" s="17">
        <f t="shared" si="0"/>
        <v>1128206</v>
      </c>
      <c r="J18" s="4" t="s">
        <v>19</v>
      </c>
      <c r="K18" s="4" t="s">
        <v>14</v>
      </c>
      <c r="L18" s="6" t="s">
        <v>23</v>
      </c>
      <c r="M18" s="6"/>
    </row>
    <row r="19" spans="1:13" ht="38.25" x14ac:dyDescent="0.25">
      <c r="A19" s="1">
        <v>18</v>
      </c>
      <c r="B19" s="1" t="s">
        <v>641</v>
      </c>
      <c r="C19" s="22" t="s">
        <v>67</v>
      </c>
      <c r="D19" s="22" t="s">
        <v>68</v>
      </c>
      <c r="E19" s="5">
        <v>0</v>
      </c>
      <c r="F19" s="5">
        <v>0</v>
      </c>
      <c r="G19" s="5">
        <v>0</v>
      </c>
      <c r="H19" s="5">
        <v>710154</v>
      </c>
      <c r="I19" s="17">
        <f t="shared" si="0"/>
        <v>710154</v>
      </c>
      <c r="J19" s="4" t="s">
        <v>13</v>
      </c>
      <c r="K19" s="4" t="s">
        <v>14</v>
      </c>
      <c r="L19" s="6" t="s">
        <v>23</v>
      </c>
      <c r="M19" s="6" t="s">
        <v>69</v>
      </c>
    </row>
    <row r="20" spans="1:13" ht="38.25" x14ac:dyDescent="0.25">
      <c r="A20" s="1">
        <v>19</v>
      </c>
      <c r="B20" s="1" t="s">
        <v>642</v>
      </c>
      <c r="C20" s="22" t="s">
        <v>70</v>
      </c>
      <c r="D20" s="22" t="s">
        <v>71</v>
      </c>
      <c r="E20" s="5">
        <v>0</v>
      </c>
      <c r="F20" s="5">
        <v>0</v>
      </c>
      <c r="G20" s="5">
        <v>0</v>
      </c>
      <c r="H20" s="5">
        <v>20250</v>
      </c>
      <c r="I20" s="17">
        <f t="shared" si="0"/>
        <v>20250</v>
      </c>
      <c r="J20" s="4" t="s">
        <v>13</v>
      </c>
      <c r="K20" s="4" t="s">
        <v>14</v>
      </c>
      <c r="L20" s="6" t="s">
        <v>23</v>
      </c>
      <c r="M20" s="6" t="s">
        <v>72</v>
      </c>
    </row>
    <row r="21" spans="1:13" ht="38.25" x14ac:dyDescent="0.25">
      <c r="A21" s="1">
        <v>20</v>
      </c>
      <c r="B21" s="1" t="s">
        <v>643</v>
      </c>
      <c r="C21" s="22" t="s">
        <v>73</v>
      </c>
      <c r="D21" s="22" t="s">
        <v>74</v>
      </c>
      <c r="E21" s="5">
        <v>0</v>
      </c>
      <c r="F21" s="5">
        <v>0</v>
      </c>
      <c r="G21" s="5">
        <v>0</v>
      </c>
      <c r="H21" s="5">
        <v>294678</v>
      </c>
      <c r="I21" s="17">
        <f t="shared" si="0"/>
        <v>294678</v>
      </c>
      <c r="J21" s="4" t="s">
        <v>13</v>
      </c>
      <c r="K21" s="4" t="s">
        <v>14</v>
      </c>
      <c r="L21" s="6" t="s">
        <v>23</v>
      </c>
      <c r="M21" s="6" t="s">
        <v>75</v>
      </c>
    </row>
    <row r="22" spans="1:13" ht="38.25" x14ac:dyDescent="0.25">
      <c r="A22" s="1">
        <v>21</v>
      </c>
      <c r="B22" s="1" t="s">
        <v>644</v>
      </c>
      <c r="C22" s="22" t="s">
        <v>76</v>
      </c>
      <c r="D22" s="22" t="s">
        <v>77</v>
      </c>
      <c r="E22" s="5">
        <v>0</v>
      </c>
      <c r="F22" s="5">
        <v>0</v>
      </c>
      <c r="G22" s="5">
        <v>0</v>
      </c>
      <c r="H22" s="5">
        <v>40500</v>
      </c>
      <c r="I22" s="17">
        <f t="shared" si="0"/>
        <v>40500</v>
      </c>
      <c r="J22" s="4" t="s">
        <v>13</v>
      </c>
      <c r="K22" s="4" t="s">
        <v>14</v>
      </c>
      <c r="L22" s="6" t="s">
        <v>78</v>
      </c>
      <c r="M22" s="6"/>
    </row>
    <row r="23" spans="1:13" ht="25.5" x14ac:dyDescent="0.25">
      <c r="A23" s="1">
        <v>22</v>
      </c>
      <c r="B23" s="1" t="s">
        <v>645</v>
      </c>
      <c r="C23" s="22" t="s">
        <v>79</v>
      </c>
      <c r="D23" s="22" t="s">
        <v>80</v>
      </c>
      <c r="E23" s="5">
        <v>0</v>
      </c>
      <c r="F23" s="5">
        <v>0</v>
      </c>
      <c r="G23" s="5">
        <v>0</v>
      </c>
      <c r="H23" s="5">
        <v>40716</v>
      </c>
      <c r="I23" s="17">
        <f t="shared" si="0"/>
        <v>40716</v>
      </c>
      <c r="J23" s="4" t="s">
        <v>13</v>
      </c>
      <c r="K23" s="4" t="s">
        <v>14</v>
      </c>
      <c r="L23" s="6" t="s">
        <v>15</v>
      </c>
      <c r="M23" s="6" t="s">
        <v>81</v>
      </c>
    </row>
    <row r="24" spans="1:13" ht="38.25" x14ac:dyDescent="0.25">
      <c r="A24" s="1">
        <v>23</v>
      </c>
      <c r="B24" s="1" t="s">
        <v>646</v>
      </c>
      <c r="C24" s="22" t="s">
        <v>82</v>
      </c>
      <c r="D24" s="22" t="s">
        <v>83</v>
      </c>
      <c r="E24" s="5">
        <v>0</v>
      </c>
      <c r="F24" s="5">
        <v>0</v>
      </c>
      <c r="G24" s="5">
        <v>0</v>
      </c>
      <c r="H24" s="5">
        <v>6100070</v>
      </c>
      <c r="I24" s="17">
        <f t="shared" si="0"/>
        <v>6100070</v>
      </c>
      <c r="J24" s="4" t="s">
        <v>13</v>
      </c>
      <c r="K24" s="4" t="s">
        <v>14</v>
      </c>
      <c r="L24" s="6" t="s">
        <v>23</v>
      </c>
      <c r="M24" s="6" t="s">
        <v>84</v>
      </c>
    </row>
    <row r="25" spans="1:13" x14ac:dyDescent="0.25">
      <c r="A25" s="1">
        <v>24</v>
      </c>
      <c r="B25" s="1" t="s">
        <v>765</v>
      </c>
      <c r="C25" s="22" t="s">
        <v>85</v>
      </c>
      <c r="D25" s="22" t="s">
        <v>86</v>
      </c>
      <c r="E25" s="5">
        <v>0</v>
      </c>
      <c r="F25" s="5">
        <v>0</v>
      </c>
      <c r="G25" s="5">
        <v>0</v>
      </c>
      <c r="H25" s="5">
        <v>0</v>
      </c>
      <c r="I25" s="17">
        <f t="shared" si="0"/>
        <v>0</v>
      </c>
      <c r="J25" s="4" t="s">
        <v>19</v>
      </c>
      <c r="K25" s="4" t="s">
        <v>14</v>
      </c>
      <c r="L25" s="6"/>
      <c r="M25" s="6"/>
    </row>
    <row r="26" spans="1:13" x14ac:dyDescent="0.25">
      <c r="A26" s="1">
        <v>25</v>
      </c>
      <c r="B26" s="1" t="s">
        <v>813</v>
      </c>
      <c r="C26" s="22" t="s">
        <v>87</v>
      </c>
      <c r="D26" s="22" t="s">
        <v>88</v>
      </c>
      <c r="E26" s="5">
        <v>0</v>
      </c>
      <c r="F26" s="5"/>
      <c r="G26" s="5"/>
      <c r="H26" s="5"/>
      <c r="I26" s="17">
        <f t="shared" si="0"/>
        <v>0</v>
      </c>
      <c r="J26" s="4" t="s">
        <v>13</v>
      </c>
      <c r="K26" s="4" t="s">
        <v>14</v>
      </c>
      <c r="L26" s="6"/>
      <c r="M26" s="6"/>
    </row>
    <row r="27" spans="1:13" ht="76.5" x14ac:dyDescent="0.25">
      <c r="A27" s="1">
        <v>26</v>
      </c>
      <c r="B27" s="1" t="s">
        <v>647</v>
      </c>
      <c r="C27" s="22" t="s">
        <v>89</v>
      </c>
      <c r="D27" s="22" t="s">
        <v>90</v>
      </c>
      <c r="E27" s="5">
        <v>214164</v>
      </c>
      <c r="F27" s="5">
        <v>136728</v>
      </c>
      <c r="G27" s="5">
        <v>0</v>
      </c>
      <c r="H27" s="5">
        <v>0</v>
      </c>
      <c r="I27" s="17">
        <f t="shared" si="0"/>
        <v>350892</v>
      </c>
      <c r="J27" s="4" t="s">
        <v>13</v>
      </c>
      <c r="K27" s="4" t="s">
        <v>14</v>
      </c>
      <c r="L27" s="6" t="s">
        <v>91</v>
      </c>
      <c r="M27" s="6" t="s">
        <v>92</v>
      </c>
    </row>
    <row r="28" spans="1:13" ht="38.25" x14ac:dyDescent="0.25">
      <c r="A28" s="1">
        <v>27</v>
      </c>
      <c r="B28" s="1" t="s">
        <v>648</v>
      </c>
      <c r="C28" s="22" t="s">
        <v>93</v>
      </c>
      <c r="D28" s="22" t="s">
        <v>94</v>
      </c>
      <c r="E28" s="5">
        <v>0</v>
      </c>
      <c r="F28" s="5">
        <v>0</v>
      </c>
      <c r="G28" s="5">
        <v>0</v>
      </c>
      <c r="H28" s="5">
        <v>461807</v>
      </c>
      <c r="I28" s="17">
        <f t="shared" si="0"/>
        <v>461807</v>
      </c>
      <c r="J28" s="4" t="s">
        <v>13</v>
      </c>
      <c r="K28" s="4" t="s">
        <v>14</v>
      </c>
      <c r="L28" s="6" t="s">
        <v>23</v>
      </c>
      <c r="M28" s="6" t="s">
        <v>95</v>
      </c>
    </row>
    <row r="29" spans="1:13" ht="25.5" x14ac:dyDescent="0.25">
      <c r="A29" s="1">
        <v>28</v>
      </c>
      <c r="B29" s="1" t="s">
        <v>649</v>
      </c>
      <c r="C29" s="22" t="s">
        <v>96</v>
      </c>
      <c r="D29" s="22" t="s">
        <v>97</v>
      </c>
      <c r="E29" s="5">
        <v>0</v>
      </c>
      <c r="F29" s="5">
        <v>0</v>
      </c>
      <c r="G29" s="5"/>
      <c r="H29" s="5">
        <v>218160</v>
      </c>
      <c r="I29" s="17">
        <f t="shared" si="0"/>
        <v>218160</v>
      </c>
      <c r="J29" s="4" t="s">
        <v>13</v>
      </c>
      <c r="K29" s="4" t="s">
        <v>14</v>
      </c>
      <c r="L29" s="6" t="s">
        <v>15</v>
      </c>
      <c r="M29" s="6" t="s">
        <v>98</v>
      </c>
    </row>
    <row r="30" spans="1:13" x14ac:dyDescent="0.25">
      <c r="A30" s="1">
        <v>29</v>
      </c>
      <c r="B30" s="1" t="s">
        <v>766</v>
      </c>
      <c r="C30" s="22" t="s">
        <v>99</v>
      </c>
      <c r="D30" s="22" t="s">
        <v>100</v>
      </c>
      <c r="E30" s="5">
        <v>0</v>
      </c>
      <c r="F30" s="5">
        <v>0</v>
      </c>
      <c r="G30" s="5">
        <v>0</v>
      </c>
      <c r="H30" s="5">
        <v>0</v>
      </c>
      <c r="I30" s="17">
        <f t="shared" si="0"/>
        <v>0</v>
      </c>
      <c r="J30" s="4" t="s">
        <v>19</v>
      </c>
      <c r="K30" s="4" t="s">
        <v>14</v>
      </c>
      <c r="L30" s="6">
        <v>5304</v>
      </c>
      <c r="M30" s="6"/>
    </row>
    <row r="31" spans="1:13" x14ac:dyDescent="0.25">
      <c r="A31" s="1">
        <v>30</v>
      </c>
      <c r="B31" s="1" t="s">
        <v>767</v>
      </c>
      <c r="C31" s="22" t="s">
        <v>101</v>
      </c>
      <c r="D31" s="22" t="s">
        <v>102</v>
      </c>
      <c r="E31" s="5">
        <v>0</v>
      </c>
      <c r="F31" s="5">
        <v>0</v>
      </c>
      <c r="G31" s="5">
        <v>0</v>
      </c>
      <c r="H31" s="5">
        <v>0</v>
      </c>
      <c r="I31" s="17">
        <f t="shared" si="0"/>
        <v>0</v>
      </c>
      <c r="J31" s="4" t="s">
        <v>19</v>
      </c>
      <c r="K31" s="4" t="s">
        <v>14</v>
      </c>
      <c r="L31" s="6">
        <v>5304</v>
      </c>
      <c r="M31" s="6"/>
    </row>
    <row r="32" spans="1:13" x14ac:dyDescent="0.25">
      <c r="A32" s="1">
        <v>31</v>
      </c>
      <c r="B32" s="1" t="s">
        <v>768</v>
      </c>
      <c r="C32" s="22" t="s">
        <v>103</v>
      </c>
      <c r="D32" s="22" t="s">
        <v>104</v>
      </c>
      <c r="E32" s="5">
        <v>0</v>
      </c>
      <c r="F32" s="5">
        <v>0</v>
      </c>
      <c r="G32" s="5">
        <v>0</v>
      </c>
      <c r="H32" s="5">
        <v>0</v>
      </c>
      <c r="I32" s="17">
        <f t="shared" si="0"/>
        <v>0</v>
      </c>
      <c r="J32" s="4" t="s">
        <v>19</v>
      </c>
      <c r="K32" s="4" t="s">
        <v>14</v>
      </c>
      <c r="L32" s="6">
        <v>5304</v>
      </c>
      <c r="M32" s="6"/>
    </row>
    <row r="33" spans="1:13" x14ac:dyDescent="0.25">
      <c r="A33" s="1">
        <v>32</v>
      </c>
      <c r="B33" s="1" t="s">
        <v>769</v>
      </c>
      <c r="C33" s="22" t="s">
        <v>105</v>
      </c>
      <c r="D33" s="22" t="s">
        <v>106</v>
      </c>
      <c r="E33" s="5">
        <v>0</v>
      </c>
      <c r="F33" s="5">
        <v>0</v>
      </c>
      <c r="G33" s="5">
        <v>0</v>
      </c>
      <c r="H33" s="5">
        <v>0</v>
      </c>
      <c r="I33" s="17">
        <f t="shared" si="0"/>
        <v>0</v>
      </c>
      <c r="J33" s="4" t="s">
        <v>19</v>
      </c>
      <c r="K33" s="4" t="s">
        <v>14</v>
      </c>
      <c r="L33" s="6">
        <v>5304</v>
      </c>
      <c r="M33" s="6"/>
    </row>
    <row r="34" spans="1:13" x14ac:dyDescent="0.25">
      <c r="A34" s="1">
        <v>33</v>
      </c>
      <c r="B34" s="1" t="s">
        <v>770</v>
      </c>
      <c r="C34" s="22" t="s">
        <v>107</v>
      </c>
      <c r="D34" s="22" t="s">
        <v>108</v>
      </c>
      <c r="E34" s="5">
        <v>0</v>
      </c>
      <c r="F34" s="5">
        <v>0</v>
      </c>
      <c r="G34" s="5">
        <v>0</v>
      </c>
      <c r="H34" s="5">
        <v>0</v>
      </c>
      <c r="I34" s="17">
        <f t="shared" si="0"/>
        <v>0</v>
      </c>
      <c r="J34" s="4" t="s">
        <v>19</v>
      </c>
      <c r="K34" s="4" t="s">
        <v>14</v>
      </c>
      <c r="L34" s="6">
        <v>5304</v>
      </c>
      <c r="M34" s="6"/>
    </row>
    <row r="35" spans="1:13" x14ac:dyDescent="0.25">
      <c r="A35" s="1">
        <v>34</v>
      </c>
      <c r="B35" s="1" t="s">
        <v>771</v>
      </c>
      <c r="C35" s="22" t="s">
        <v>109</v>
      </c>
      <c r="D35" s="22" t="s">
        <v>110</v>
      </c>
      <c r="E35" s="5">
        <v>0</v>
      </c>
      <c r="F35" s="5">
        <v>0</v>
      </c>
      <c r="G35" s="5">
        <v>0</v>
      </c>
      <c r="H35" s="5"/>
      <c r="I35" s="17">
        <f t="shared" si="0"/>
        <v>0</v>
      </c>
      <c r="J35" s="4" t="s">
        <v>19</v>
      </c>
      <c r="K35" s="4" t="s">
        <v>14</v>
      </c>
      <c r="L35" s="6">
        <v>5304</v>
      </c>
      <c r="M35" s="6"/>
    </row>
    <row r="36" spans="1:13" ht="25.5" x14ac:dyDescent="0.25">
      <c r="A36" s="1">
        <v>35</v>
      </c>
      <c r="B36" s="1" t="s">
        <v>650</v>
      </c>
      <c r="C36" s="22" t="s">
        <v>111</v>
      </c>
      <c r="D36" s="22" t="s">
        <v>112</v>
      </c>
      <c r="E36" s="5">
        <v>0</v>
      </c>
      <c r="F36" s="5">
        <v>0</v>
      </c>
      <c r="G36" s="5">
        <v>0</v>
      </c>
      <c r="H36" s="5">
        <v>230227</v>
      </c>
      <c r="I36" s="17">
        <f t="shared" si="0"/>
        <v>230227</v>
      </c>
      <c r="J36" s="4" t="s">
        <v>13</v>
      </c>
      <c r="K36" s="4" t="s">
        <v>14</v>
      </c>
      <c r="L36" s="6" t="s">
        <v>15</v>
      </c>
      <c r="M36" s="6" t="s">
        <v>113</v>
      </c>
    </row>
    <row r="37" spans="1:13" x14ac:dyDescent="0.25">
      <c r="A37" s="1">
        <v>36</v>
      </c>
      <c r="B37" s="1" t="s">
        <v>772</v>
      </c>
      <c r="C37" s="22" t="s">
        <v>114</v>
      </c>
      <c r="D37" s="22" t="s">
        <v>115</v>
      </c>
      <c r="E37" s="5">
        <v>0</v>
      </c>
      <c r="F37" s="5">
        <v>0</v>
      </c>
      <c r="G37" s="5">
        <v>0</v>
      </c>
      <c r="H37" s="5">
        <v>0</v>
      </c>
      <c r="I37" s="17">
        <f t="shared" si="0"/>
        <v>0</v>
      </c>
      <c r="J37" s="4" t="s">
        <v>19</v>
      </c>
      <c r="K37" s="4" t="s">
        <v>14</v>
      </c>
      <c r="L37" s="6">
        <v>5304</v>
      </c>
      <c r="M37" s="6"/>
    </row>
    <row r="38" spans="1:13" ht="25.5" x14ac:dyDescent="0.25">
      <c r="A38" s="1">
        <v>37</v>
      </c>
      <c r="B38" s="1" t="s">
        <v>651</v>
      </c>
      <c r="C38" s="22" t="s">
        <v>116</v>
      </c>
      <c r="D38" s="22" t="s">
        <v>117</v>
      </c>
      <c r="E38" s="5">
        <v>0</v>
      </c>
      <c r="F38" s="5">
        <v>0</v>
      </c>
      <c r="G38" s="5">
        <v>104760</v>
      </c>
      <c r="H38" s="5">
        <v>76935</v>
      </c>
      <c r="I38" s="17">
        <f t="shared" si="0"/>
        <v>181695</v>
      </c>
      <c r="J38" s="4" t="s">
        <v>19</v>
      </c>
      <c r="K38" s="4" t="s">
        <v>14</v>
      </c>
      <c r="L38" s="6" t="s">
        <v>118</v>
      </c>
      <c r="M38" s="6" t="s">
        <v>119</v>
      </c>
    </row>
    <row r="39" spans="1:13" x14ac:dyDescent="0.25">
      <c r="A39" s="1">
        <v>38</v>
      </c>
      <c r="B39" s="1" t="s">
        <v>773</v>
      </c>
      <c r="C39" s="22" t="s">
        <v>120</v>
      </c>
      <c r="D39" s="22" t="s">
        <v>121</v>
      </c>
      <c r="E39" s="5">
        <v>0</v>
      </c>
      <c r="F39" s="5">
        <v>0</v>
      </c>
      <c r="G39" s="5"/>
      <c r="H39" s="5"/>
      <c r="I39" s="17">
        <f t="shared" si="0"/>
        <v>0</v>
      </c>
      <c r="J39" s="4" t="s">
        <v>19</v>
      </c>
      <c r="K39" s="4" t="s">
        <v>14</v>
      </c>
      <c r="L39" s="6"/>
      <c r="M39" s="6"/>
    </row>
    <row r="40" spans="1:13" x14ac:dyDescent="0.25">
      <c r="A40" s="1">
        <v>39</v>
      </c>
      <c r="B40" s="1" t="s">
        <v>774</v>
      </c>
      <c r="C40" s="22" t="s">
        <v>122</v>
      </c>
      <c r="D40" s="22" t="s">
        <v>123</v>
      </c>
      <c r="E40" s="5">
        <v>0</v>
      </c>
      <c r="F40" s="5">
        <v>0</v>
      </c>
      <c r="G40" s="5">
        <v>0</v>
      </c>
      <c r="H40" s="5">
        <v>0</v>
      </c>
      <c r="I40" s="17">
        <f t="shared" si="0"/>
        <v>0</v>
      </c>
      <c r="J40" s="4" t="s">
        <v>19</v>
      </c>
      <c r="K40" s="4" t="s">
        <v>14</v>
      </c>
      <c r="L40" s="6">
        <v>5304</v>
      </c>
      <c r="M40" s="6"/>
    </row>
    <row r="41" spans="1:13" ht="25.5" x14ac:dyDescent="0.25">
      <c r="A41" s="1">
        <v>40</v>
      </c>
      <c r="B41" s="1" t="s">
        <v>652</v>
      </c>
      <c r="C41" s="22" t="s">
        <v>124</v>
      </c>
      <c r="D41" s="22" t="s">
        <v>125</v>
      </c>
      <c r="E41" s="5">
        <v>0</v>
      </c>
      <c r="F41" s="5">
        <v>0</v>
      </c>
      <c r="G41" s="5">
        <v>0</v>
      </c>
      <c r="H41" s="5">
        <v>251000</v>
      </c>
      <c r="I41" s="17">
        <f t="shared" si="0"/>
        <v>251000</v>
      </c>
      <c r="J41" s="4" t="s">
        <v>19</v>
      </c>
      <c r="K41" s="4" t="s">
        <v>14</v>
      </c>
      <c r="L41" s="6" t="s">
        <v>126</v>
      </c>
      <c r="M41" s="6"/>
    </row>
    <row r="42" spans="1:13" x14ac:dyDescent="0.25">
      <c r="A42" s="1">
        <v>41</v>
      </c>
      <c r="B42" s="1" t="s">
        <v>814</v>
      </c>
      <c r="C42" s="22" t="s">
        <v>127</v>
      </c>
      <c r="D42" s="22" t="s">
        <v>128</v>
      </c>
      <c r="E42" s="5"/>
      <c r="F42" s="5"/>
      <c r="G42" s="5"/>
      <c r="H42" s="5">
        <v>0</v>
      </c>
      <c r="I42" s="17">
        <f t="shared" si="0"/>
        <v>0</v>
      </c>
      <c r="J42" s="4" t="s">
        <v>19</v>
      </c>
      <c r="K42" s="4" t="s">
        <v>14</v>
      </c>
      <c r="L42" s="6">
        <v>5304</v>
      </c>
      <c r="M42" s="6"/>
    </row>
    <row r="43" spans="1:13" x14ac:dyDescent="0.25">
      <c r="A43" s="1">
        <v>42</v>
      </c>
      <c r="B43" s="1" t="s">
        <v>818</v>
      </c>
      <c r="C43" s="22" t="s">
        <v>129</v>
      </c>
      <c r="D43" s="22" t="s">
        <v>130</v>
      </c>
      <c r="E43" s="5">
        <v>0</v>
      </c>
      <c r="F43" s="5">
        <v>0</v>
      </c>
      <c r="G43" s="5">
        <v>0</v>
      </c>
      <c r="H43" s="5">
        <v>0</v>
      </c>
      <c r="I43" s="17">
        <f t="shared" si="0"/>
        <v>0</v>
      </c>
      <c r="J43" s="4" t="s">
        <v>19</v>
      </c>
      <c r="K43" s="4" t="s">
        <v>14</v>
      </c>
      <c r="L43" s="6">
        <v>5304</v>
      </c>
      <c r="M43" s="6"/>
    </row>
    <row r="44" spans="1:13" x14ac:dyDescent="0.25">
      <c r="A44" s="1">
        <v>43</v>
      </c>
      <c r="B44" s="1" t="s">
        <v>775</v>
      </c>
      <c r="C44" s="22" t="s">
        <v>131</v>
      </c>
      <c r="D44" s="22" t="s">
        <v>132</v>
      </c>
      <c r="E44" s="5">
        <v>0</v>
      </c>
      <c r="F44" s="5">
        <v>0</v>
      </c>
      <c r="G44" s="5">
        <v>0</v>
      </c>
      <c r="H44" s="5">
        <v>0</v>
      </c>
      <c r="I44" s="17">
        <f t="shared" si="0"/>
        <v>0</v>
      </c>
      <c r="J44" s="4" t="s">
        <v>19</v>
      </c>
      <c r="K44" s="4" t="s">
        <v>14</v>
      </c>
      <c r="L44" s="6">
        <v>5304</v>
      </c>
      <c r="M44" s="6"/>
    </row>
    <row r="45" spans="1:13" x14ac:dyDescent="0.25">
      <c r="A45" s="1">
        <v>44</v>
      </c>
      <c r="B45" s="1" t="s">
        <v>776</v>
      </c>
      <c r="C45" s="22" t="s">
        <v>133</v>
      </c>
      <c r="D45" s="22" t="s">
        <v>134</v>
      </c>
      <c r="E45" s="5">
        <v>0</v>
      </c>
      <c r="F45" s="5">
        <v>0</v>
      </c>
      <c r="G45" s="5">
        <v>0</v>
      </c>
      <c r="H45" s="5">
        <v>0</v>
      </c>
      <c r="I45" s="17">
        <f t="shared" si="0"/>
        <v>0</v>
      </c>
      <c r="J45" s="4" t="s">
        <v>19</v>
      </c>
      <c r="K45" s="4" t="s">
        <v>14</v>
      </c>
      <c r="L45" s="6">
        <v>5304</v>
      </c>
      <c r="M45" s="6"/>
    </row>
    <row r="46" spans="1:13" x14ac:dyDescent="0.25">
      <c r="A46" s="1">
        <v>45</v>
      </c>
      <c r="B46" s="1" t="s">
        <v>777</v>
      </c>
      <c r="C46" s="22" t="s">
        <v>135</v>
      </c>
      <c r="D46" s="22" t="s">
        <v>136</v>
      </c>
      <c r="E46" s="5">
        <v>0</v>
      </c>
      <c r="F46" s="5"/>
      <c r="G46" s="5"/>
      <c r="H46" s="5"/>
      <c r="I46" s="17">
        <f t="shared" si="0"/>
        <v>0</v>
      </c>
      <c r="J46" s="4" t="s">
        <v>19</v>
      </c>
      <c r="K46" s="4" t="s">
        <v>14</v>
      </c>
      <c r="L46" s="6">
        <v>5304</v>
      </c>
      <c r="M46" s="6"/>
    </row>
    <row r="47" spans="1:13" x14ac:dyDescent="0.25">
      <c r="A47" s="1">
        <v>46</v>
      </c>
      <c r="B47" s="1" t="s">
        <v>778</v>
      </c>
      <c r="C47" s="22" t="s">
        <v>137</v>
      </c>
      <c r="D47" s="22" t="s">
        <v>138</v>
      </c>
      <c r="E47" s="5">
        <v>0</v>
      </c>
      <c r="F47" s="5">
        <v>0</v>
      </c>
      <c r="G47" s="5">
        <v>0</v>
      </c>
      <c r="H47" s="5">
        <v>0</v>
      </c>
      <c r="I47" s="17">
        <f t="shared" si="0"/>
        <v>0</v>
      </c>
      <c r="J47" s="4" t="s">
        <v>19</v>
      </c>
      <c r="K47" s="4" t="s">
        <v>14</v>
      </c>
      <c r="L47" s="6">
        <v>5304</v>
      </c>
      <c r="M47" s="6"/>
    </row>
    <row r="48" spans="1:13" x14ac:dyDescent="0.25">
      <c r="A48" s="1">
        <v>47</v>
      </c>
      <c r="B48" s="1" t="s">
        <v>779</v>
      </c>
      <c r="C48" s="22" t="s">
        <v>139</v>
      </c>
      <c r="D48" s="22" t="s">
        <v>140</v>
      </c>
      <c r="E48" s="5">
        <v>0</v>
      </c>
      <c r="F48" s="5">
        <v>0</v>
      </c>
      <c r="G48" s="5">
        <v>0</v>
      </c>
      <c r="H48" s="5">
        <v>0</v>
      </c>
      <c r="I48" s="17">
        <f t="shared" si="0"/>
        <v>0</v>
      </c>
      <c r="J48" s="4" t="s">
        <v>13</v>
      </c>
      <c r="K48" s="4" t="s">
        <v>14</v>
      </c>
      <c r="L48" s="6">
        <v>5304</v>
      </c>
      <c r="M48" s="6"/>
    </row>
    <row r="49" spans="1:13" x14ac:dyDescent="0.25">
      <c r="A49" s="1">
        <v>48</v>
      </c>
      <c r="B49" s="1" t="s">
        <v>815</v>
      </c>
      <c r="C49" s="22" t="s">
        <v>141</v>
      </c>
      <c r="D49" s="22" t="s">
        <v>142</v>
      </c>
      <c r="E49" s="5">
        <v>0</v>
      </c>
      <c r="F49" s="5">
        <v>0</v>
      </c>
      <c r="G49" s="5">
        <v>0</v>
      </c>
      <c r="H49" s="5">
        <v>0</v>
      </c>
      <c r="I49" s="17">
        <f t="shared" si="0"/>
        <v>0</v>
      </c>
      <c r="J49" s="4" t="s">
        <v>19</v>
      </c>
      <c r="K49" s="4" t="s">
        <v>14</v>
      </c>
      <c r="L49" s="6">
        <v>5304</v>
      </c>
      <c r="M49" s="6"/>
    </row>
    <row r="50" spans="1:13" x14ac:dyDescent="0.25">
      <c r="A50" s="1">
        <v>49</v>
      </c>
      <c r="B50" s="1" t="s">
        <v>780</v>
      </c>
      <c r="C50" s="22" t="s">
        <v>143</v>
      </c>
      <c r="D50" s="22" t="s">
        <v>144</v>
      </c>
      <c r="E50" s="5">
        <v>0</v>
      </c>
      <c r="F50" s="5">
        <v>0</v>
      </c>
      <c r="G50" s="5">
        <v>0</v>
      </c>
      <c r="H50" s="5">
        <v>0</v>
      </c>
      <c r="I50" s="17">
        <f t="shared" si="0"/>
        <v>0</v>
      </c>
      <c r="J50" s="4" t="s">
        <v>19</v>
      </c>
      <c r="K50" s="4" t="s">
        <v>14</v>
      </c>
      <c r="L50" s="6">
        <v>5304</v>
      </c>
      <c r="M50" s="6"/>
    </row>
    <row r="51" spans="1:13" ht="25.5" x14ac:dyDescent="0.25">
      <c r="A51" s="1">
        <v>50</v>
      </c>
      <c r="B51" s="1" t="s">
        <v>653</v>
      </c>
      <c r="C51" s="22" t="s">
        <v>145</v>
      </c>
      <c r="D51" s="22" t="s">
        <v>146</v>
      </c>
      <c r="E51" s="5">
        <v>0</v>
      </c>
      <c r="F51" s="5">
        <v>0</v>
      </c>
      <c r="G51" s="5">
        <v>0</v>
      </c>
      <c r="H51" s="5">
        <v>10000</v>
      </c>
      <c r="I51" s="17">
        <f t="shared" si="0"/>
        <v>10000</v>
      </c>
      <c r="J51" s="4" t="s">
        <v>19</v>
      </c>
      <c r="K51" s="4" t="s">
        <v>14</v>
      </c>
      <c r="L51" s="6" t="s">
        <v>126</v>
      </c>
      <c r="M51" s="6"/>
    </row>
    <row r="52" spans="1:13" x14ac:dyDescent="0.25">
      <c r="A52" s="1">
        <v>51</v>
      </c>
      <c r="B52" s="1" t="s">
        <v>781</v>
      </c>
      <c r="C52" s="22" t="s">
        <v>147</v>
      </c>
      <c r="D52" s="22" t="s">
        <v>148</v>
      </c>
      <c r="E52" s="5">
        <v>0</v>
      </c>
      <c r="F52" s="5">
        <v>0</v>
      </c>
      <c r="G52" s="5">
        <v>0</v>
      </c>
      <c r="H52" s="5">
        <v>0</v>
      </c>
      <c r="I52" s="17">
        <f t="shared" si="0"/>
        <v>0</v>
      </c>
      <c r="J52" s="4" t="s">
        <v>19</v>
      </c>
      <c r="K52" s="4" t="s">
        <v>14</v>
      </c>
      <c r="L52" s="6">
        <v>5304</v>
      </c>
      <c r="M52" s="6"/>
    </row>
    <row r="53" spans="1:13" x14ac:dyDescent="0.25">
      <c r="A53" s="1">
        <v>52</v>
      </c>
      <c r="B53" s="1" t="s">
        <v>782</v>
      </c>
      <c r="C53" s="22" t="s">
        <v>149</v>
      </c>
      <c r="D53" s="22" t="s">
        <v>150</v>
      </c>
      <c r="E53" s="5">
        <v>0</v>
      </c>
      <c r="F53" s="5">
        <v>0</v>
      </c>
      <c r="G53" s="5">
        <v>0</v>
      </c>
      <c r="H53" s="5">
        <v>0</v>
      </c>
      <c r="I53" s="17">
        <f t="shared" si="0"/>
        <v>0</v>
      </c>
      <c r="J53" s="4" t="s">
        <v>19</v>
      </c>
      <c r="K53" s="4" t="s">
        <v>14</v>
      </c>
      <c r="L53" s="6">
        <v>5304</v>
      </c>
      <c r="M53" s="6"/>
    </row>
    <row r="54" spans="1:13" x14ac:dyDescent="0.25">
      <c r="A54" s="1">
        <v>53</v>
      </c>
      <c r="B54" s="1" t="s">
        <v>783</v>
      </c>
      <c r="C54" s="22" t="s">
        <v>151</v>
      </c>
      <c r="D54" s="22" t="s">
        <v>152</v>
      </c>
      <c r="E54" s="5">
        <v>0</v>
      </c>
      <c r="F54" s="5">
        <v>0</v>
      </c>
      <c r="G54" s="5">
        <v>0</v>
      </c>
      <c r="H54" s="5">
        <v>0</v>
      </c>
      <c r="I54" s="17">
        <f t="shared" si="0"/>
        <v>0</v>
      </c>
      <c r="J54" s="4" t="s">
        <v>19</v>
      </c>
      <c r="K54" s="4" t="s">
        <v>14</v>
      </c>
      <c r="L54" s="6">
        <v>5304</v>
      </c>
      <c r="M54" s="6"/>
    </row>
    <row r="55" spans="1:13" x14ac:dyDescent="0.25">
      <c r="A55" s="1">
        <v>54</v>
      </c>
      <c r="B55" s="1" t="s">
        <v>784</v>
      </c>
      <c r="C55" s="22" t="s">
        <v>153</v>
      </c>
      <c r="D55" s="22" t="s">
        <v>154</v>
      </c>
      <c r="E55" s="5">
        <v>0</v>
      </c>
      <c r="F55" s="5">
        <v>0</v>
      </c>
      <c r="G55" s="5">
        <v>0</v>
      </c>
      <c r="H55" s="5">
        <v>0</v>
      </c>
      <c r="I55" s="17">
        <f t="shared" si="0"/>
        <v>0</v>
      </c>
      <c r="J55" s="4" t="s">
        <v>19</v>
      </c>
      <c r="K55" s="4" t="s">
        <v>14</v>
      </c>
      <c r="L55" s="6">
        <v>5304</v>
      </c>
      <c r="M55" s="6"/>
    </row>
    <row r="56" spans="1:13" x14ac:dyDescent="0.25">
      <c r="A56" s="1">
        <v>55</v>
      </c>
      <c r="B56" s="1" t="s">
        <v>785</v>
      </c>
      <c r="C56" s="22" t="s">
        <v>155</v>
      </c>
      <c r="D56" s="22" t="s">
        <v>156</v>
      </c>
      <c r="E56" s="5">
        <v>0</v>
      </c>
      <c r="F56" s="5">
        <v>0</v>
      </c>
      <c r="G56" s="5">
        <v>0</v>
      </c>
      <c r="H56" s="5">
        <v>0</v>
      </c>
      <c r="I56" s="17">
        <f t="shared" si="0"/>
        <v>0</v>
      </c>
      <c r="J56" s="4" t="s">
        <v>19</v>
      </c>
      <c r="K56" s="4" t="s">
        <v>14</v>
      </c>
      <c r="L56" s="6">
        <v>5304</v>
      </c>
      <c r="M56" s="6"/>
    </row>
    <row r="57" spans="1:13" x14ac:dyDescent="0.25">
      <c r="A57" s="1">
        <v>56</v>
      </c>
      <c r="B57" s="1" t="s">
        <v>786</v>
      </c>
      <c r="C57" s="22" t="s">
        <v>157</v>
      </c>
      <c r="D57" s="22" t="s">
        <v>158</v>
      </c>
      <c r="E57" s="5">
        <v>0</v>
      </c>
      <c r="F57" s="5">
        <v>0</v>
      </c>
      <c r="G57" s="5"/>
      <c r="H57" s="5"/>
      <c r="I57" s="17">
        <f t="shared" si="0"/>
        <v>0</v>
      </c>
      <c r="J57" s="4" t="s">
        <v>19</v>
      </c>
      <c r="K57" s="4" t="s">
        <v>14</v>
      </c>
      <c r="L57" s="6"/>
      <c r="M57" s="6"/>
    </row>
    <row r="58" spans="1:13" ht="38.25" x14ac:dyDescent="0.25">
      <c r="A58" s="1">
        <v>57</v>
      </c>
      <c r="B58" s="1" t="s">
        <v>654</v>
      </c>
      <c r="C58" s="22" t="s">
        <v>159</v>
      </c>
      <c r="D58" s="22" t="s">
        <v>160</v>
      </c>
      <c r="E58" s="5">
        <v>0</v>
      </c>
      <c r="F58" s="5">
        <v>0</v>
      </c>
      <c r="G58" s="5">
        <v>0</v>
      </c>
      <c r="H58" s="5">
        <v>918271</v>
      </c>
      <c r="I58" s="17">
        <f t="shared" si="0"/>
        <v>918271</v>
      </c>
      <c r="J58" s="4" t="s">
        <v>19</v>
      </c>
      <c r="K58" s="4" t="s">
        <v>14</v>
      </c>
      <c r="L58" s="6" t="s">
        <v>161</v>
      </c>
      <c r="M58" s="6"/>
    </row>
    <row r="59" spans="1:13" ht="38.25" x14ac:dyDescent="0.25">
      <c r="A59" s="1">
        <v>58</v>
      </c>
      <c r="B59" s="1" t="s">
        <v>655</v>
      </c>
      <c r="C59" s="22" t="s">
        <v>162</v>
      </c>
      <c r="D59" s="22" t="s">
        <v>163</v>
      </c>
      <c r="E59" s="5">
        <v>0</v>
      </c>
      <c r="F59" s="5">
        <v>0</v>
      </c>
      <c r="G59" s="5">
        <v>0</v>
      </c>
      <c r="H59" s="5">
        <v>666401</v>
      </c>
      <c r="I59" s="17">
        <f t="shared" si="0"/>
        <v>666401</v>
      </c>
      <c r="J59" s="4" t="s">
        <v>19</v>
      </c>
      <c r="K59" s="4" t="s">
        <v>14</v>
      </c>
      <c r="L59" s="6" t="s">
        <v>161</v>
      </c>
      <c r="M59" s="6"/>
    </row>
    <row r="60" spans="1:13" ht="38.25" x14ac:dyDescent="0.25">
      <c r="A60" s="1">
        <v>59</v>
      </c>
      <c r="B60" s="1" t="s">
        <v>656</v>
      </c>
      <c r="C60" s="22" t="s">
        <v>164</v>
      </c>
      <c r="D60" s="22" t="s">
        <v>165</v>
      </c>
      <c r="E60" s="5"/>
      <c r="F60" s="5">
        <v>2986553</v>
      </c>
      <c r="G60" s="5">
        <v>2073485</v>
      </c>
      <c r="H60" s="5">
        <v>3221152</v>
      </c>
      <c r="I60" s="17">
        <f t="shared" si="0"/>
        <v>8281190</v>
      </c>
      <c r="J60" s="4" t="s">
        <v>13</v>
      </c>
      <c r="K60" s="4" t="s">
        <v>14</v>
      </c>
      <c r="L60" s="6" t="s">
        <v>166</v>
      </c>
      <c r="M60" s="6" t="s">
        <v>167</v>
      </c>
    </row>
    <row r="61" spans="1:13" ht="51" x14ac:dyDescent="0.25">
      <c r="A61" s="1">
        <v>60</v>
      </c>
      <c r="B61" s="1" t="s">
        <v>633</v>
      </c>
      <c r="C61" s="22" t="s">
        <v>168</v>
      </c>
      <c r="D61" s="22" t="s">
        <v>169</v>
      </c>
      <c r="E61" s="5">
        <v>0</v>
      </c>
      <c r="F61" s="5">
        <v>12617684</v>
      </c>
      <c r="G61" s="5">
        <v>3783004</v>
      </c>
      <c r="H61" s="5">
        <v>0</v>
      </c>
      <c r="I61" s="17">
        <f t="shared" si="0"/>
        <v>16400688</v>
      </c>
      <c r="J61" s="4" t="s">
        <v>13</v>
      </c>
      <c r="K61" s="4" t="s">
        <v>14</v>
      </c>
      <c r="L61" s="6" t="s">
        <v>170</v>
      </c>
      <c r="M61" s="6" t="s">
        <v>171</v>
      </c>
    </row>
    <row r="62" spans="1:13" ht="38.25" x14ac:dyDescent="0.25">
      <c r="A62" s="1">
        <v>61</v>
      </c>
      <c r="B62" s="1" t="s">
        <v>657</v>
      </c>
      <c r="C62" s="22" t="s">
        <v>172</v>
      </c>
      <c r="D62" s="22" t="s">
        <v>173</v>
      </c>
      <c r="E62" s="5">
        <v>0</v>
      </c>
      <c r="F62" s="5">
        <v>0</v>
      </c>
      <c r="G62" s="5">
        <v>0</v>
      </c>
      <c r="H62" s="5">
        <v>971551</v>
      </c>
      <c r="I62" s="17">
        <f t="shared" si="0"/>
        <v>971551</v>
      </c>
      <c r="J62" s="4" t="s">
        <v>19</v>
      </c>
      <c r="K62" s="4" t="s">
        <v>14</v>
      </c>
      <c r="L62" s="6" t="s">
        <v>161</v>
      </c>
      <c r="M62" s="6"/>
    </row>
    <row r="63" spans="1:13" ht="25.5" x14ac:dyDescent="0.25">
      <c r="A63" s="1">
        <v>62</v>
      </c>
      <c r="B63" s="1" t="s">
        <v>658</v>
      </c>
      <c r="C63" s="22" t="s">
        <v>174</v>
      </c>
      <c r="D63" s="22" t="s">
        <v>175</v>
      </c>
      <c r="E63" s="5">
        <v>0</v>
      </c>
      <c r="F63" s="5">
        <v>0</v>
      </c>
      <c r="G63" s="5">
        <v>0</v>
      </c>
      <c r="H63" s="5">
        <v>415000</v>
      </c>
      <c r="I63" s="17">
        <f t="shared" si="0"/>
        <v>415000</v>
      </c>
      <c r="J63" s="4" t="s">
        <v>19</v>
      </c>
      <c r="K63" s="4" t="s">
        <v>14</v>
      </c>
      <c r="L63" s="6" t="s">
        <v>126</v>
      </c>
      <c r="M63" s="6"/>
    </row>
    <row r="64" spans="1:13" x14ac:dyDescent="0.25">
      <c r="A64" s="1">
        <v>63</v>
      </c>
      <c r="B64" s="1" t="s">
        <v>787</v>
      </c>
      <c r="C64" s="22" t="s">
        <v>176</v>
      </c>
      <c r="D64" s="22" t="s">
        <v>177</v>
      </c>
      <c r="E64" s="5">
        <v>0</v>
      </c>
      <c r="F64" s="5">
        <v>0</v>
      </c>
      <c r="G64" s="5">
        <v>0</v>
      </c>
      <c r="H64" s="5">
        <v>0</v>
      </c>
      <c r="I64" s="17">
        <f t="shared" si="0"/>
        <v>0</v>
      </c>
      <c r="J64" s="4" t="s">
        <v>19</v>
      </c>
      <c r="K64" s="4" t="s">
        <v>14</v>
      </c>
      <c r="L64" s="6">
        <v>5304</v>
      </c>
      <c r="M64" s="6"/>
    </row>
    <row r="65" spans="1:13" x14ac:dyDescent="0.25">
      <c r="A65" s="1">
        <v>64</v>
      </c>
      <c r="B65" s="1" t="s">
        <v>788</v>
      </c>
      <c r="C65" s="22" t="s">
        <v>178</v>
      </c>
      <c r="D65" s="22" t="s">
        <v>179</v>
      </c>
      <c r="E65" s="5">
        <v>0</v>
      </c>
      <c r="F65" s="5">
        <v>0</v>
      </c>
      <c r="G65" s="5">
        <v>0</v>
      </c>
      <c r="H65" s="5">
        <v>0</v>
      </c>
      <c r="I65" s="17">
        <f t="shared" si="0"/>
        <v>0</v>
      </c>
      <c r="J65" s="4" t="s">
        <v>19</v>
      </c>
      <c r="K65" s="4" t="s">
        <v>14</v>
      </c>
      <c r="L65" s="6">
        <v>5304</v>
      </c>
      <c r="M65" s="6"/>
    </row>
    <row r="66" spans="1:13" x14ac:dyDescent="0.25">
      <c r="A66" s="1">
        <v>65</v>
      </c>
      <c r="B66" s="1" t="s">
        <v>789</v>
      </c>
      <c r="C66" s="22" t="s">
        <v>180</v>
      </c>
      <c r="D66" s="22" t="s">
        <v>181</v>
      </c>
      <c r="E66" s="5">
        <v>0</v>
      </c>
      <c r="F66" s="5"/>
      <c r="G66" s="5"/>
      <c r="H66" s="5"/>
      <c r="I66" s="17">
        <f t="shared" si="0"/>
        <v>0</v>
      </c>
      <c r="J66" s="4" t="s">
        <v>19</v>
      </c>
      <c r="K66" s="4" t="s">
        <v>14</v>
      </c>
      <c r="L66" s="6">
        <v>5304</v>
      </c>
      <c r="M66" s="6"/>
    </row>
    <row r="67" spans="1:13" x14ac:dyDescent="0.25">
      <c r="A67" s="1">
        <v>66</v>
      </c>
      <c r="B67" s="1" t="s">
        <v>790</v>
      </c>
      <c r="C67" s="22" t="s">
        <v>182</v>
      </c>
      <c r="D67" s="22" t="s">
        <v>183</v>
      </c>
      <c r="E67" s="5">
        <v>0</v>
      </c>
      <c r="F67" s="5">
        <v>0</v>
      </c>
      <c r="G67" s="5">
        <v>0</v>
      </c>
      <c r="H67" s="5">
        <v>0</v>
      </c>
      <c r="I67" s="17">
        <f t="shared" ref="I67:I130" si="1">E67+F67+G67+H67</f>
        <v>0</v>
      </c>
      <c r="J67" s="4" t="s">
        <v>19</v>
      </c>
      <c r="K67" s="4" t="s">
        <v>14</v>
      </c>
      <c r="L67" s="6">
        <v>5304</v>
      </c>
      <c r="M67" s="6"/>
    </row>
    <row r="68" spans="1:13" x14ac:dyDescent="0.25">
      <c r="A68" s="1">
        <v>67</v>
      </c>
      <c r="B68" s="1" t="s">
        <v>791</v>
      </c>
      <c r="C68" s="22" t="s">
        <v>184</v>
      </c>
      <c r="D68" s="22" t="s">
        <v>185</v>
      </c>
      <c r="E68" s="5">
        <v>0</v>
      </c>
      <c r="F68" s="5">
        <v>0</v>
      </c>
      <c r="G68" s="5">
        <v>0</v>
      </c>
      <c r="H68" s="5">
        <v>0</v>
      </c>
      <c r="I68" s="17">
        <f t="shared" si="1"/>
        <v>0</v>
      </c>
      <c r="J68" s="4" t="s">
        <v>19</v>
      </c>
      <c r="K68" s="4" t="s">
        <v>14</v>
      </c>
      <c r="L68" s="6">
        <v>5304</v>
      </c>
      <c r="M68" s="6"/>
    </row>
    <row r="69" spans="1:13" x14ac:dyDescent="0.25">
      <c r="A69" s="1">
        <v>68</v>
      </c>
      <c r="B69" s="1" t="s">
        <v>765</v>
      </c>
      <c r="C69" s="22" t="s">
        <v>186</v>
      </c>
      <c r="D69" s="22" t="s">
        <v>187</v>
      </c>
      <c r="E69" s="5">
        <v>0</v>
      </c>
      <c r="F69" s="5">
        <v>0</v>
      </c>
      <c r="G69" s="5">
        <v>0</v>
      </c>
      <c r="H69" s="5">
        <v>0</v>
      </c>
      <c r="I69" s="17">
        <f t="shared" si="1"/>
        <v>0</v>
      </c>
      <c r="J69" s="4" t="s">
        <v>19</v>
      </c>
      <c r="K69" s="4" t="s">
        <v>14</v>
      </c>
      <c r="L69" s="6">
        <v>5304</v>
      </c>
      <c r="M69" s="6"/>
    </row>
    <row r="70" spans="1:13" x14ac:dyDescent="0.25">
      <c r="A70" s="1">
        <v>69</v>
      </c>
      <c r="B70" s="1" t="s">
        <v>792</v>
      </c>
      <c r="C70" s="22" t="s">
        <v>188</v>
      </c>
      <c r="D70" s="22" t="s">
        <v>189</v>
      </c>
      <c r="E70" s="5">
        <v>0</v>
      </c>
      <c r="F70" s="5">
        <v>0</v>
      </c>
      <c r="G70" s="5">
        <v>0</v>
      </c>
      <c r="H70" s="5">
        <v>0</v>
      </c>
      <c r="I70" s="17">
        <f t="shared" si="1"/>
        <v>0</v>
      </c>
      <c r="J70" s="4" t="s">
        <v>19</v>
      </c>
      <c r="K70" s="4" t="s">
        <v>14</v>
      </c>
      <c r="L70" s="6">
        <v>5304</v>
      </c>
      <c r="M70" s="6"/>
    </row>
    <row r="71" spans="1:13" ht="38.25" x14ac:dyDescent="0.25">
      <c r="A71" s="1">
        <v>70</v>
      </c>
      <c r="B71" s="1" t="s">
        <v>659</v>
      </c>
      <c r="C71" s="22" t="s">
        <v>190</v>
      </c>
      <c r="D71" s="22" t="s">
        <v>191</v>
      </c>
      <c r="E71" s="5">
        <v>0</v>
      </c>
      <c r="F71" s="5">
        <v>0</v>
      </c>
      <c r="G71" s="5">
        <v>0</v>
      </c>
      <c r="H71" s="5">
        <v>547077</v>
      </c>
      <c r="I71" s="17">
        <f t="shared" si="1"/>
        <v>547077</v>
      </c>
      <c r="J71" s="4" t="s">
        <v>19</v>
      </c>
      <c r="K71" s="4" t="s">
        <v>14</v>
      </c>
      <c r="L71" s="6" t="s">
        <v>161</v>
      </c>
      <c r="M71" s="6" t="s">
        <v>192</v>
      </c>
    </row>
    <row r="72" spans="1:13" x14ac:dyDescent="0.25">
      <c r="A72" s="1">
        <v>71</v>
      </c>
      <c r="B72" s="1" t="s">
        <v>793</v>
      </c>
      <c r="C72" s="22" t="s">
        <v>193</v>
      </c>
      <c r="D72" s="22" t="s">
        <v>194</v>
      </c>
      <c r="E72" s="5">
        <v>0</v>
      </c>
      <c r="F72" s="5">
        <v>0</v>
      </c>
      <c r="G72" s="5">
        <v>0</v>
      </c>
      <c r="H72" s="5">
        <v>0</v>
      </c>
      <c r="I72" s="17">
        <f t="shared" si="1"/>
        <v>0</v>
      </c>
      <c r="J72" s="4" t="s">
        <v>19</v>
      </c>
      <c r="K72" s="4" t="s">
        <v>14</v>
      </c>
      <c r="L72" s="6">
        <v>5304</v>
      </c>
      <c r="M72" s="6"/>
    </row>
    <row r="73" spans="1:13" ht="38.25" x14ac:dyDescent="0.25">
      <c r="A73" s="1">
        <v>72</v>
      </c>
      <c r="B73" s="1" t="s">
        <v>660</v>
      </c>
      <c r="C73" s="22" t="s">
        <v>195</v>
      </c>
      <c r="D73" s="22" t="s">
        <v>196</v>
      </c>
      <c r="E73" s="5">
        <v>0</v>
      </c>
      <c r="F73" s="5">
        <v>0</v>
      </c>
      <c r="G73" s="5">
        <v>0</v>
      </c>
      <c r="H73" s="5">
        <v>40658</v>
      </c>
      <c r="I73" s="17">
        <f t="shared" si="1"/>
        <v>40658</v>
      </c>
      <c r="J73" s="4" t="s">
        <v>19</v>
      </c>
      <c r="K73" s="4" t="s">
        <v>14</v>
      </c>
      <c r="L73" s="6" t="s">
        <v>197</v>
      </c>
      <c r="M73" s="6"/>
    </row>
    <row r="74" spans="1:13" x14ac:dyDescent="0.25">
      <c r="A74" s="1">
        <v>73</v>
      </c>
      <c r="B74" s="1" t="s">
        <v>794</v>
      </c>
      <c r="C74" s="22" t="s">
        <v>198</v>
      </c>
      <c r="D74" s="22" t="s">
        <v>199</v>
      </c>
      <c r="E74" s="5">
        <v>0</v>
      </c>
      <c r="F74" s="5">
        <v>0</v>
      </c>
      <c r="G74" s="5">
        <v>0</v>
      </c>
      <c r="H74" s="5">
        <v>0</v>
      </c>
      <c r="I74" s="17">
        <f t="shared" si="1"/>
        <v>0</v>
      </c>
      <c r="J74" s="4" t="s">
        <v>19</v>
      </c>
      <c r="K74" s="4" t="s">
        <v>14</v>
      </c>
      <c r="L74" s="6">
        <v>5304</v>
      </c>
      <c r="M74" s="6"/>
    </row>
    <row r="75" spans="1:13" x14ac:dyDescent="0.25">
      <c r="A75" s="1">
        <v>74</v>
      </c>
      <c r="B75" s="1" t="s">
        <v>816</v>
      </c>
      <c r="C75" s="22" t="s">
        <v>200</v>
      </c>
      <c r="D75" s="22" t="s">
        <v>201</v>
      </c>
      <c r="E75" s="5">
        <v>0</v>
      </c>
      <c r="F75" s="5">
        <v>0</v>
      </c>
      <c r="G75" s="5">
        <v>0</v>
      </c>
      <c r="H75" s="5">
        <v>0</v>
      </c>
      <c r="I75" s="17">
        <f t="shared" si="1"/>
        <v>0</v>
      </c>
      <c r="J75" s="4" t="s">
        <v>19</v>
      </c>
      <c r="K75" s="4" t="s">
        <v>14</v>
      </c>
      <c r="L75" s="6">
        <v>5304</v>
      </c>
      <c r="M75" s="6"/>
    </row>
    <row r="76" spans="1:13" ht="38.25" x14ac:dyDescent="0.25">
      <c r="A76" s="1">
        <v>75</v>
      </c>
      <c r="B76" s="1" t="s">
        <v>661</v>
      </c>
      <c r="C76" s="22" t="s">
        <v>202</v>
      </c>
      <c r="D76" s="22" t="s">
        <v>203</v>
      </c>
      <c r="E76" s="5">
        <v>0</v>
      </c>
      <c r="F76" s="5">
        <v>0</v>
      </c>
      <c r="G76" s="5">
        <v>0</v>
      </c>
      <c r="H76" s="5">
        <v>446530</v>
      </c>
      <c r="I76" s="17">
        <f t="shared" si="1"/>
        <v>446530</v>
      </c>
      <c r="J76" s="4" t="s">
        <v>19</v>
      </c>
      <c r="K76" s="4" t="s">
        <v>14</v>
      </c>
      <c r="L76" s="6" t="s">
        <v>161</v>
      </c>
      <c r="M76" s="6"/>
    </row>
    <row r="77" spans="1:13" ht="38.25" x14ac:dyDescent="0.25">
      <c r="A77" s="1">
        <v>76</v>
      </c>
      <c r="B77" s="1" t="s">
        <v>662</v>
      </c>
      <c r="C77" s="22" t="s">
        <v>204</v>
      </c>
      <c r="D77" s="22" t="s">
        <v>205</v>
      </c>
      <c r="E77" s="5">
        <v>0</v>
      </c>
      <c r="F77" s="5">
        <v>0</v>
      </c>
      <c r="G77" s="5">
        <v>0</v>
      </c>
      <c r="H77" s="5">
        <v>113400</v>
      </c>
      <c r="I77" s="17">
        <f t="shared" si="1"/>
        <v>113400</v>
      </c>
      <c r="J77" s="4" t="s">
        <v>19</v>
      </c>
      <c r="K77" s="4" t="s">
        <v>14</v>
      </c>
      <c r="L77" s="6" t="s">
        <v>197</v>
      </c>
      <c r="M77" s="6"/>
    </row>
    <row r="78" spans="1:13" x14ac:dyDescent="0.25">
      <c r="A78" s="1">
        <v>77</v>
      </c>
      <c r="B78" s="1" t="s">
        <v>795</v>
      </c>
      <c r="C78" s="22" t="s">
        <v>206</v>
      </c>
      <c r="D78" s="22" t="s">
        <v>207</v>
      </c>
      <c r="E78" s="5">
        <v>0</v>
      </c>
      <c r="F78" s="5"/>
      <c r="G78" s="5"/>
      <c r="H78" s="5"/>
      <c r="I78" s="17">
        <f t="shared" si="1"/>
        <v>0</v>
      </c>
      <c r="J78" s="4" t="s">
        <v>19</v>
      </c>
      <c r="K78" s="4" t="s">
        <v>14</v>
      </c>
      <c r="L78" s="6">
        <v>5304</v>
      </c>
      <c r="M78" s="6"/>
    </row>
    <row r="79" spans="1:13" x14ac:dyDescent="0.25">
      <c r="A79" s="1">
        <v>78</v>
      </c>
      <c r="B79" s="1" t="s">
        <v>819</v>
      </c>
      <c r="C79" s="22" t="s">
        <v>208</v>
      </c>
      <c r="D79" s="22" t="s">
        <v>209</v>
      </c>
      <c r="E79" s="5"/>
      <c r="F79" s="5">
        <v>0</v>
      </c>
      <c r="G79" s="5">
        <v>0</v>
      </c>
      <c r="H79" s="5">
        <v>0</v>
      </c>
      <c r="I79" s="17">
        <f t="shared" si="1"/>
        <v>0</v>
      </c>
      <c r="J79" s="4" t="s">
        <v>19</v>
      </c>
      <c r="K79" s="4" t="s">
        <v>14</v>
      </c>
      <c r="L79" s="6">
        <v>5304</v>
      </c>
      <c r="M79" s="6"/>
    </row>
    <row r="80" spans="1:13" x14ac:dyDescent="0.25">
      <c r="A80" s="1">
        <v>79</v>
      </c>
      <c r="B80" s="1" t="s">
        <v>796</v>
      </c>
      <c r="C80" s="22" t="s">
        <v>210</v>
      </c>
      <c r="D80" s="22" t="s">
        <v>211</v>
      </c>
      <c r="E80" s="5"/>
      <c r="F80" s="5"/>
      <c r="G80" s="5"/>
      <c r="H80" s="5"/>
      <c r="I80" s="17">
        <f t="shared" si="1"/>
        <v>0</v>
      </c>
      <c r="J80" s="4" t="s">
        <v>19</v>
      </c>
      <c r="K80" s="4" t="s">
        <v>14</v>
      </c>
      <c r="L80" s="6">
        <v>5304</v>
      </c>
      <c r="M80" s="6"/>
    </row>
    <row r="81" spans="1:13" x14ac:dyDescent="0.25">
      <c r="A81" s="1">
        <v>80</v>
      </c>
      <c r="B81" s="1" t="s">
        <v>820</v>
      </c>
      <c r="C81" s="22" t="s">
        <v>212</v>
      </c>
      <c r="D81" s="22" t="s">
        <v>213</v>
      </c>
      <c r="E81" s="5"/>
      <c r="F81" s="5">
        <v>0</v>
      </c>
      <c r="G81" s="5">
        <v>0</v>
      </c>
      <c r="H81" s="5">
        <v>0</v>
      </c>
      <c r="I81" s="17">
        <f t="shared" si="1"/>
        <v>0</v>
      </c>
      <c r="J81" s="4" t="s">
        <v>19</v>
      </c>
      <c r="K81" s="4" t="s">
        <v>14</v>
      </c>
      <c r="L81" s="6">
        <v>5304</v>
      </c>
      <c r="M81" s="6"/>
    </row>
    <row r="82" spans="1:13" ht="38.25" x14ac:dyDescent="0.25">
      <c r="A82" s="1">
        <v>81</v>
      </c>
      <c r="B82" s="1" t="s">
        <v>663</v>
      </c>
      <c r="C82" s="22" t="s">
        <v>214</v>
      </c>
      <c r="D82" s="22" t="s">
        <v>215</v>
      </c>
      <c r="E82" s="5">
        <v>1440563</v>
      </c>
      <c r="F82" s="5">
        <v>104544</v>
      </c>
      <c r="G82" s="5">
        <v>129384</v>
      </c>
      <c r="H82" s="5">
        <v>269892</v>
      </c>
      <c r="I82" s="17">
        <f t="shared" si="1"/>
        <v>1944383</v>
      </c>
      <c r="J82" s="4" t="s">
        <v>13</v>
      </c>
      <c r="K82" s="4" t="s">
        <v>14</v>
      </c>
      <c r="L82" s="6" t="s">
        <v>216</v>
      </c>
      <c r="M82" s="6" t="s">
        <v>217</v>
      </c>
    </row>
    <row r="83" spans="1:13" ht="38.25" x14ac:dyDescent="0.25">
      <c r="A83" s="1">
        <v>82</v>
      </c>
      <c r="B83" s="1" t="s">
        <v>664</v>
      </c>
      <c r="C83" s="22" t="s">
        <v>218</v>
      </c>
      <c r="D83" s="22" t="s">
        <v>219</v>
      </c>
      <c r="E83" s="5">
        <v>0</v>
      </c>
      <c r="F83" s="5">
        <v>0</v>
      </c>
      <c r="G83" s="5">
        <v>0</v>
      </c>
      <c r="H83" s="5">
        <f>517862-256155</f>
        <v>261707</v>
      </c>
      <c r="I83" s="17">
        <f t="shared" si="1"/>
        <v>261707</v>
      </c>
      <c r="J83" s="4" t="s">
        <v>19</v>
      </c>
      <c r="K83" s="4" t="s">
        <v>14</v>
      </c>
      <c r="L83" s="6" t="s">
        <v>161</v>
      </c>
      <c r="M83" s="6"/>
    </row>
    <row r="84" spans="1:13" ht="38.25" x14ac:dyDescent="0.25">
      <c r="A84" s="1">
        <v>83</v>
      </c>
      <c r="B84" s="1" t="s">
        <v>665</v>
      </c>
      <c r="C84" s="22" t="s">
        <v>220</v>
      </c>
      <c r="D84" s="22" t="s">
        <v>221</v>
      </c>
      <c r="E84" s="5">
        <v>0</v>
      </c>
      <c r="F84" s="5">
        <v>0</v>
      </c>
      <c r="G84" s="5">
        <v>0</v>
      </c>
      <c r="H84" s="5">
        <v>44139</v>
      </c>
      <c r="I84" s="17">
        <f t="shared" si="1"/>
        <v>44139</v>
      </c>
      <c r="J84" s="4" t="s">
        <v>19</v>
      </c>
      <c r="K84" s="4" t="s">
        <v>14</v>
      </c>
      <c r="L84" s="6" t="s">
        <v>197</v>
      </c>
      <c r="M84" s="6"/>
    </row>
    <row r="85" spans="1:13" x14ac:dyDescent="0.25">
      <c r="A85" s="1">
        <v>84</v>
      </c>
      <c r="B85" s="1" t="s">
        <v>825</v>
      </c>
      <c r="C85" s="22" t="s">
        <v>222</v>
      </c>
      <c r="D85" s="22" t="s">
        <v>223</v>
      </c>
      <c r="E85" s="5"/>
      <c r="F85" s="5">
        <v>0</v>
      </c>
      <c r="G85" s="5">
        <v>0</v>
      </c>
      <c r="H85" s="5">
        <v>0</v>
      </c>
      <c r="I85" s="17">
        <f t="shared" si="1"/>
        <v>0</v>
      </c>
      <c r="J85" s="4" t="s">
        <v>19</v>
      </c>
      <c r="K85" s="4" t="s">
        <v>14</v>
      </c>
      <c r="L85" s="6">
        <v>5304</v>
      </c>
      <c r="M85" s="6"/>
    </row>
    <row r="86" spans="1:13" ht="38.25" x14ac:dyDescent="0.25">
      <c r="A86" s="1">
        <v>85</v>
      </c>
      <c r="B86" s="1" t="s">
        <v>666</v>
      </c>
      <c r="C86" s="22" t="s">
        <v>224</v>
      </c>
      <c r="D86" s="22" t="s">
        <v>225</v>
      </c>
      <c r="E86" s="5">
        <v>0</v>
      </c>
      <c r="F86" s="5">
        <v>0</v>
      </c>
      <c r="G86" s="5">
        <v>0</v>
      </c>
      <c r="H86" s="5">
        <v>136728</v>
      </c>
      <c r="I86" s="17">
        <f t="shared" si="1"/>
        <v>136728</v>
      </c>
      <c r="J86" s="4" t="s">
        <v>13</v>
      </c>
      <c r="K86" s="4" t="s">
        <v>14</v>
      </c>
      <c r="L86" s="6" t="s">
        <v>226</v>
      </c>
      <c r="M86" s="6" t="s">
        <v>227</v>
      </c>
    </row>
    <row r="87" spans="1:13" ht="38.25" x14ac:dyDescent="0.25">
      <c r="A87" s="1">
        <v>86</v>
      </c>
      <c r="B87" s="1" t="s">
        <v>667</v>
      </c>
      <c r="C87" s="22" t="s">
        <v>228</v>
      </c>
      <c r="D87" s="22" t="s">
        <v>229</v>
      </c>
      <c r="E87" s="5">
        <v>0</v>
      </c>
      <c r="F87" s="5">
        <v>0</v>
      </c>
      <c r="G87" s="5">
        <v>0</v>
      </c>
      <c r="H87" s="5">
        <v>341021</v>
      </c>
      <c r="I87" s="17">
        <f t="shared" si="1"/>
        <v>341021</v>
      </c>
      <c r="J87" s="4" t="s">
        <v>13</v>
      </c>
      <c r="K87" s="4" t="s">
        <v>14</v>
      </c>
      <c r="L87" s="6" t="s">
        <v>23</v>
      </c>
      <c r="M87" s="6" t="s">
        <v>230</v>
      </c>
    </row>
    <row r="88" spans="1:13" ht="38.25" x14ac:dyDescent="0.25">
      <c r="A88" s="1">
        <v>87</v>
      </c>
      <c r="B88" s="1" t="s">
        <v>668</v>
      </c>
      <c r="C88" s="22" t="s">
        <v>231</v>
      </c>
      <c r="D88" s="22" t="s">
        <v>232</v>
      </c>
      <c r="E88" s="5">
        <v>0</v>
      </c>
      <c r="F88" s="5">
        <v>0</v>
      </c>
      <c r="G88" s="5">
        <v>14256</v>
      </c>
      <c r="H88" s="5">
        <v>105160</v>
      </c>
      <c r="I88" s="17">
        <f t="shared" si="1"/>
        <v>119416</v>
      </c>
      <c r="J88" s="4" t="s">
        <v>13</v>
      </c>
      <c r="K88" s="4" t="s">
        <v>14</v>
      </c>
      <c r="L88" s="6" t="s">
        <v>23</v>
      </c>
      <c r="M88" s="6" t="s">
        <v>233</v>
      </c>
    </row>
    <row r="89" spans="1:13" ht="38.25" x14ac:dyDescent="0.25">
      <c r="A89" s="1">
        <v>88</v>
      </c>
      <c r="B89" s="1" t="s">
        <v>669</v>
      </c>
      <c r="C89" s="22" t="s">
        <v>234</v>
      </c>
      <c r="D89" s="22" t="s">
        <v>235</v>
      </c>
      <c r="E89" s="5">
        <v>0</v>
      </c>
      <c r="F89" s="5">
        <v>0</v>
      </c>
      <c r="G89" s="5">
        <v>0</v>
      </c>
      <c r="H89" s="5">
        <v>123363</v>
      </c>
      <c r="I89" s="17">
        <f t="shared" si="1"/>
        <v>123363</v>
      </c>
      <c r="J89" s="4" t="s">
        <v>13</v>
      </c>
      <c r="K89" s="4" t="s">
        <v>14</v>
      </c>
      <c r="L89" s="6" t="s">
        <v>23</v>
      </c>
      <c r="M89" s="6" t="s">
        <v>236</v>
      </c>
    </row>
    <row r="90" spans="1:13" x14ac:dyDescent="0.25">
      <c r="A90" s="1">
        <v>89</v>
      </c>
      <c r="B90" s="1" t="s">
        <v>797</v>
      </c>
      <c r="C90" s="22" t="s">
        <v>237</v>
      </c>
      <c r="D90" s="22" t="s">
        <v>238</v>
      </c>
      <c r="E90" s="5">
        <v>0</v>
      </c>
      <c r="F90" s="5"/>
      <c r="G90" s="5"/>
      <c r="H90" s="5"/>
      <c r="I90" s="17">
        <f t="shared" si="1"/>
        <v>0</v>
      </c>
      <c r="J90" s="4" t="s">
        <v>13</v>
      </c>
      <c r="K90" s="4" t="s">
        <v>14</v>
      </c>
      <c r="L90" s="6"/>
      <c r="M90" s="6"/>
    </row>
    <row r="91" spans="1:13" ht="38.25" x14ac:dyDescent="0.25">
      <c r="A91" s="1">
        <v>90</v>
      </c>
      <c r="B91" s="1" t="s">
        <v>670</v>
      </c>
      <c r="C91" s="22" t="s">
        <v>239</v>
      </c>
      <c r="D91" s="22" t="s">
        <v>240</v>
      </c>
      <c r="E91" s="5">
        <v>158321</v>
      </c>
      <c r="F91" s="5">
        <v>572724</v>
      </c>
      <c r="G91" s="5">
        <v>756767</v>
      </c>
      <c r="H91" s="5">
        <v>2155740</v>
      </c>
      <c r="I91" s="17">
        <f t="shared" si="1"/>
        <v>3643552</v>
      </c>
      <c r="J91" s="4" t="s">
        <v>13</v>
      </c>
      <c r="K91" s="4" t="s">
        <v>14</v>
      </c>
      <c r="L91" s="6" t="s">
        <v>241</v>
      </c>
      <c r="M91" s="6" t="s">
        <v>242</v>
      </c>
    </row>
    <row r="92" spans="1:13" x14ac:dyDescent="0.25">
      <c r="A92" s="1">
        <v>91</v>
      </c>
      <c r="B92" s="1" t="s">
        <v>798</v>
      </c>
      <c r="C92" s="22" t="s">
        <v>243</v>
      </c>
      <c r="D92" s="22" t="s">
        <v>244</v>
      </c>
      <c r="E92" s="5"/>
      <c r="F92" s="5"/>
      <c r="G92" s="5">
        <v>0</v>
      </c>
      <c r="H92" s="5">
        <v>0</v>
      </c>
      <c r="I92" s="17">
        <f t="shared" si="1"/>
        <v>0</v>
      </c>
      <c r="J92" s="4" t="s">
        <v>13</v>
      </c>
      <c r="K92" s="4" t="s">
        <v>14</v>
      </c>
      <c r="L92" s="6">
        <v>5304</v>
      </c>
      <c r="M92" s="6"/>
    </row>
    <row r="93" spans="1:13" ht="51" x14ac:dyDescent="0.25">
      <c r="A93" s="1">
        <v>92</v>
      </c>
      <c r="B93" s="1" t="s">
        <v>671</v>
      </c>
      <c r="C93" s="22" t="s">
        <v>245</v>
      </c>
      <c r="D93" s="22" t="s">
        <v>246</v>
      </c>
      <c r="E93" s="5">
        <v>0</v>
      </c>
      <c r="F93" s="5">
        <v>4882520</v>
      </c>
      <c r="G93" s="5">
        <v>0</v>
      </c>
      <c r="H93" s="5">
        <v>10327837</v>
      </c>
      <c r="I93" s="17">
        <f t="shared" si="1"/>
        <v>15210357</v>
      </c>
      <c r="J93" s="4" t="s">
        <v>13</v>
      </c>
      <c r="K93" s="4" t="s">
        <v>14</v>
      </c>
      <c r="L93" s="6" t="s">
        <v>247</v>
      </c>
      <c r="M93" s="6" t="s">
        <v>248</v>
      </c>
    </row>
    <row r="94" spans="1:13" ht="38.25" x14ac:dyDescent="0.25">
      <c r="A94" s="1">
        <v>93</v>
      </c>
      <c r="B94" s="1" t="s">
        <v>672</v>
      </c>
      <c r="C94" s="22" t="s">
        <v>249</v>
      </c>
      <c r="D94" s="22" t="s">
        <v>250</v>
      </c>
      <c r="E94" s="5">
        <v>0</v>
      </c>
      <c r="F94" s="5">
        <v>0</v>
      </c>
      <c r="G94" s="5">
        <v>0</v>
      </c>
      <c r="H94" s="5">
        <v>20250</v>
      </c>
      <c r="I94" s="17">
        <f t="shared" si="1"/>
        <v>20250</v>
      </c>
      <c r="J94" s="4" t="s">
        <v>13</v>
      </c>
      <c r="K94" s="4" t="s">
        <v>14</v>
      </c>
      <c r="L94" s="6" t="s">
        <v>78</v>
      </c>
      <c r="M94" s="6"/>
    </row>
    <row r="95" spans="1:13" ht="38.25" x14ac:dyDescent="0.25">
      <c r="A95" s="1">
        <v>94</v>
      </c>
      <c r="B95" s="1" t="s">
        <v>673</v>
      </c>
      <c r="C95" s="22" t="s">
        <v>251</v>
      </c>
      <c r="D95" s="22" t="s">
        <v>252</v>
      </c>
      <c r="E95" s="5">
        <v>0</v>
      </c>
      <c r="F95" s="5">
        <v>0</v>
      </c>
      <c r="G95" s="5">
        <v>0</v>
      </c>
      <c r="H95" s="5">
        <v>235008</v>
      </c>
      <c r="I95" s="17">
        <f t="shared" si="1"/>
        <v>235008</v>
      </c>
      <c r="J95" s="4" t="s">
        <v>13</v>
      </c>
      <c r="K95" s="4" t="s">
        <v>14</v>
      </c>
      <c r="L95" s="6" t="s">
        <v>253</v>
      </c>
      <c r="M95" s="6" t="s">
        <v>254</v>
      </c>
    </row>
    <row r="96" spans="1:13" ht="38.25" x14ac:dyDescent="0.25">
      <c r="A96" s="1">
        <v>95</v>
      </c>
      <c r="B96" s="1" t="s">
        <v>674</v>
      </c>
      <c r="C96" s="22" t="s">
        <v>255</v>
      </c>
      <c r="D96" s="22" t="s">
        <v>256</v>
      </c>
      <c r="E96" s="5">
        <v>90072</v>
      </c>
      <c r="F96" s="5">
        <v>73872</v>
      </c>
      <c r="G96" s="5">
        <v>0</v>
      </c>
      <c r="H96" s="5">
        <v>71550</v>
      </c>
      <c r="I96" s="17">
        <f t="shared" si="1"/>
        <v>235494</v>
      </c>
      <c r="J96" s="4" t="s">
        <v>13</v>
      </c>
      <c r="K96" s="4" t="s">
        <v>14</v>
      </c>
      <c r="L96" s="6" t="s">
        <v>257</v>
      </c>
      <c r="M96" s="6" t="s">
        <v>258</v>
      </c>
    </row>
    <row r="97" spans="1:13" ht="63.75" x14ac:dyDescent="0.25">
      <c r="A97" s="1">
        <v>96</v>
      </c>
      <c r="B97" s="1" t="s">
        <v>675</v>
      </c>
      <c r="C97" s="22" t="s">
        <v>259</v>
      </c>
      <c r="D97" s="22" t="s">
        <v>260</v>
      </c>
      <c r="E97" s="5">
        <v>0</v>
      </c>
      <c r="F97" s="5">
        <v>0</v>
      </c>
      <c r="G97" s="5">
        <v>2042005</v>
      </c>
      <c r="H97" s="5">
        <v>205956</v>
      </c>
      <c r="I97" s="17">
        <f t="shared" si="1"/>
        <v>2247961</v>
      </c>
      <c r="J97" s="4" t="s">
        <v>13</v>
      </c>
      <c r="K97" s="4" t="s">
        <v>45</v>
      </c>
      <c r="L97" s="6" t="s">
        <v>261</v>
      </c>
      <c r="M97" s="6" t="s">
        <v>262</v>
      </c>
    </row>
    <row r="98" spans="1:13" ht="38.25" x14ac:dyDescent="0.25">
      <c r="A98" s="1">
        <v>97</v>
      </c>
      <c r="B98" s="1" t="s">
        <v>676</v>
      </c>
      <c r="C98" s="22" t="s">
        <v>263</v>
      </c>
      <c r="D98" s="22" t="s">
        <v>264</v>
      </c>
      <c r="E98" s="5">
        <v>691043</v>
      </c>
      <c r="F98" s="5">
        <v>0</v>
      </c>
      <c r="G98" s="5">
        <v>0</v>
      </c>
      <c r="H98" s="5">
        <v>476678</v>
      </c>
      <c r="I98" s="17">
        <f t="shared" si="1"/>
        <v>1167721</v>
      </c>
      <c r="J98" s="4" t="s">
        <v>13</v>
      </c>
      <c r="K98" s="4" t="s">
        <v>14</v>
      </c>
      <c r="L98" s="6" t="s">
        <v>265</v>
      </c>
      <c r="M98" s="6" t="s">
        <v>266</v>
      </c>
    </row>
    <row r="99" spans="1:13" ht="38.25" x14ac:dyDescent="0.25">
      <c r="A99" s="1">
        <v>98</v>
      </c>
      <c r="B99" s="1" t="s">
        <v>677</v>
      </c>
      <c r="C99" s="22" t="s">
        <v>267</v>
      </c>
      <c r="D99" s="22" t="s">
        <v>268</v>
      </c>
      <c r="E99" s="5">
        <v>0</v>
      </c>
      <c r="F99" s="5">
        <v>1520174</v>
      </c>
      <c r="G99" s="5">
        <v>0</v>
      </c>
      <c r="H99" s="5">
        <v>109404</v>
      </c>
      <c r="I99" s="17">
        <f t="shared" si="1"/>
        <v>1629578</v>
      </c>
      <c r="J99" s="4" t="s">
        <v>13</v>
      </c>
      <c r="K99" s="4" t="s">
        <v>14</v>
      </c>
      <c r="L99" s="6" t="s">
        <v>269</v>
      </c>
      <c r="M99" s="6" t="s">
        <v>270</v>
      </c>
    </row>
    <row r="100" spans="1:13" ht="63.75" x14ac:dyDescent="0.25">
      <c r="A100" s="1">
        <v>99</v>
      </c>
      <c r="B100" s="1" t="s">
        <v>678</v>
      </c>
      <c r="C100" s="22" t="s">
        <v>271</v>
      </c>
      <c r="D100" s="22" t="s">
        <v>272</v>
      </c>
      <c r="E100" s="5">
        <v>188940</v>
      </c>
      <c r="F100" s="5">
        <v>1381219</v>
      </c>
      <c r="G100" s="5">
        <v>756288</v>
      </c>
      <c r="H100" s="5">
        <v>1118340</v>
      </c>
      <c r="I100" s="17">
        <f t="shared" si="1"/>
        <v>3444787</v>
      </c>
      <c r="J100" s="4" t="s">
        <v>13</v>
      </c>
      <c r="K100" s="4" t="s">
        <v>14</v>
      </c>
      <c r="L100" s="6" t="s">
        <v>273</v>
      </c>
      <c r="M100" s="6" t="s">
        <v>274</v>
      </c>
    </row>
    <row r="101" spans="1:13" ht="38.25" x14ac:dyDescent="0.25">
      <c r="A101" s="1">
        <v>100</v>
      </c>
      <c r="B101" s="1" t="s">
        <v>679</v>
      </c>
      <c r="C101" s="22" t="s">
        <v>275</v>
      </c>
      <c r="D101" s="22" t="s">
        <v>276</v>
      </c>
      <c r="E101" s="5">
        <v>0</v>
      </c>
      <c r="F101" s="5">
        <v>0</v>
      </c>
      <c r="G101" s="5">
        <v>0</v>
      </c>
      <c r="H101" s="5">
        <v>48122740</v>
      </c>
      <c r="I101" s="17">
        <f t="shared" si="1"/>
        <v>48122740</v>
      </c>
      <c r="J101" s="4" t="s">
        <v>13</v>
      </c>
      <c r="K101" s="4" t="s">
        <v>14</v>
      </c>
      <c r="L101" s="6" t="s">
        <v>23</v>
      </c>
      <c r="M101" s="6" t="s">
        <v>277</v>
      </c>
    </row>
    <row r="102" spans="1:13" ht="38.25" x14ac:dyDescent="0.25">
      <c r="A102" s="1">
        <v>101</v>
      </c>
      <c r="B102" s="1" t="s">
        <v>680</v>
      </c>
      <c r="C102" s="22" t="s">
        <v>278</v>
      </c>
      <c r="D102" s="22" t="s">
        <v>279</v>
      </c>
      <c r="E102" s="5">
        <v>0</v>
      </c>
      <c r="F102" s="5">
        <v>22560009</v>
      </c>
      <c r="G102" s="5">
        <v>0</v>
      </c>
      <c r="H102" s="5">
        <v>25006742</v>
      </c>
      <c r="I102" s="17">
        <f t="shared" si="1"/>
        <v>47566751</v>
      </c>
      <c r="J102" s="4" t="s">
        <v>13</v>
      </c>
      <c r="K102" s="4" t="s">
        <v>14</v>
      </c>
      <c r="L102" s="6" t="s">
        <v>280</v>
      </c>
      <c r="M102" s="6" t="s">
        <v>281</v>
      </c>
    </row>
    <row r="103" spans="1:13" ht="38.25" x14ac:dyDescent="0.25">
      <c r="A103" s="1">
        <v>102</v>
      </c>
      <c r="B103" s="1" t="s">
        <v>681</v>
      </c>
      <c r="C103" s="22" t="s">
        <v>282</v>
      </c>
      <c r="D103" s="22" t="s">
        <v>283</v>
      </c>
      <c r="E103" s="5">
        <v>0</v>
      </c>
      <c r="F103" s="5">
        <v>0</v>
      </c>
      <c r="G103" s="5">
        <v>0</v>
      </c>
      <c r="H103" s="5">
        <v>13957434</v>
      </c>
      <c r="I103" s="17">
        <f t="shared" si="1"/>
        <v>13957434</v>
      </c>
      <c r="J103" s="4" t="s">
        <v>13</v>
      </c>
      <c r="K103" s="4" t="s">
        <v>14</v>
      </c>
      <c r="L103" s="6" t="s">
        <v>23</v>
      </c>
      <c r="M103" s="6" t="s">
        <v>284</v>
      </c>
    </row>
    <row r="104" spans="1:13" ht="25.5" x14ac:dyDescent="0.25">
      <c r="A104" s="1">
        <v>103</v>
      </c>
      <c r="B104" s="1" t="s">
        <v>682</v>
      </c>
      <c r="C104" s="22" t="s">
        <v>285</v>
      </c>
      <c r="D104" s="22" t="s">
        <v>286</v>
      </c>
      <c r="E104" s="5">
        <v>984852</v>
      </c>
      <c r="F104" s="5">
        <v>0</v>
      </c>
      <c r="G104" s="5">
        <v>0</v>
      </c>
      <c r="H104" s="5">
        <v>4798834</v>
      </c>
      <c r="I104" s="17">
        <f t="shared" si="1"/>
        <v>5783686</v>
      </c>
      <c r="J104" s="4" t="s">
        <v>13</v>
      </c>
      <c r="K104" s="4" t="s">
        <v>14</v>
      </c>
      <c r="L104" s="6" t="s">
        <v>287</v>
      </c>
      <c r="M104" s="6" t="s">
        <v>288</v>
      </c>
    </row>
    <row r="105" spans="1:13" ht="38.25" x14ac:dyDescent="0.25">
      <c r="A105" s="1">
        <v>104</v>
      </c>
      <c r="B105" s="1" t="s">
        <v>683</v>
      </c>
      <c r="C105" s="22" t="s">
        <v>289</v>
      </c>
      <c r="D105" s="22" t="s">
        <v>290</v>
      </c>
      <c r="E105" s="5">
        <v>0</v>
      </c>
      <c r="F105" s="5">
        <v>0</v>
      </c>
      <c r="G105" s="5">
        <v>0</v>
      </c>
      <c r="H105" s="5">
        <v>1083178</v>
      </c>
      <c r="I105" s="17">
        <f t="shared" si="1"/>
        <v>1083178</v>
      </c>
      <c r="J105" s="4" t="s">
        <v>13</v>
      </c>
      <c r="K105" s="4" t="s">
        <v>14</v>
      </c>
      <c r="L105" s="6" t="s">
        <v>23</v>
      </c>
      <c r="M105" s="6" t="s">
        <v>291</v>
      </c>
    </row>
    <row r="106" spans="1:13" ht="38.25" x14ac:dyDescent="0.25">
      <c r="A106" s="1">
        <v>105</v>
      </c>
      <c r="B106" s="1" t="s">
        <v>684</v>
      </c>
      <c r="C106" s="22" t="s">
        <v>292</v>
      </c>
      <c r="D106" s="22" t="s">
        <v>293</v>
      </c>
      <c r="E106" s="5">
        <v>0</v>
      </c>
      <c r="F106" s="5">
        <v>0</v>
      </c>
      <c r="G106" s="5">
        <v>0</v>
      </c>
      <c r="H106" s="5">
        <v>827888</v>
      </c>
      <c r="I106" s="17">
        <f t="shared" si="1"/>
        <v>827888</v>
      </c>
      <c r="J106" s="4" t="s">
        <v>13</v>
      </c>
      <c r="K106" s="4" t="s">
        <v>14</v>
      </c>
      <c r="L106" s="6" t="s">
        <v>23</v>
      </c>
      <c r="M106" s="6" t="s">
        <v>294</v>
      </c>
    </row>
    <row r="107" spans="1:13" x14ac:dyDescent="0.25">
      <c r="A107" s="1">
        <v>106</v>
      </c>
      <c r="B107" s="1" t="s">
        <v>685</v>
      </c>
      <c r="C107" s="22" t="s">
        <v>295</v>
      </c>
      <c r="D107" s="22" t="s">
        <v>296</v>
      </c>
      <c r="E107" s="5">
        <v>0</v>
      </c>
      <c r="F107" s="5">
        <v>0</v>
      </c>
      <c r="G107" s="5"/>
      <c r="H107" s="5">
        <f>1617616</f>
        <v>1617616</v>
      </c>
      <c r="I107" s="17">
        <f t="shared" si="1"/>
        <v>1617616</v>
      </c>
      <c r="J107" s="4" t="s">
        <v>13</v>
      </c>
      <c r="K107" s="4" t="s">
        <v>45</v>
      </c>
      <c r="L107" s="6" t="s">
        <v>297</v>
      </c>
      <c r="M107" s="6" t="s">
        <v>298</v>
      </c>
    </row>
    <row r="108" spans="1:13" ht="51" x14ac:dyDescent="0.25">
      <c r="A108" s="1">
        <v>107</v>
      </c>
      <c r="B108" s="1" t="s">
        <v>686</v>
      </c>
      <c r="C108" s="22" t="s">
        <v>299</v>
      </c>
      <c r="D108" s="22" t="s">
        <v>300</v>
      </c>
      <c r="E108" s="5">
        <v>0</v>
      </c>
      <c r="F108" s="5">
        <v>975212</v>
      </c>
      <c r="G108" s="5">
        <v>494956</v>
      </c>
      <c r="H108" s="5">
        <v>930083</v>
      </c>
      <c r="I108" s="17">
        <f t="shared" si="1"/>
        <v>2400251</v>
      </c>
      <c r="J108" s="4" t="s">
        <v>13</v>
      </c>
      <c r="K108" s="4" t="s">
        <v>14</v>
      </c>
      <c r="L108" s="6" t="s">
        <v>301</v>
      </c>
      <c r="M108" s="6" t="s">
        <v>302</v>
      </c>
    </row>
    <row r="109" spans="1:13" ht="38.25" x14ac:dyDescent="0.25">
      <c r="A109" s="1">
        <v>108</v>
      </c>
      <c r="B109" s="1" t="s">
        <v>687</v>
      </c>
      <c r="C109" s="22" t="s">
        <v>303</v>
      </c>
      <c r="D109" s="22" t="s">
        <v>304</v>
      </c>
      <c r="E109" s="5"/>
      <c r="F109" s="5">
        <v>0</v>
      </c>
      <c r="G109" s="5">
        <v>0</v>
      </c>
      <c r="H109" s="5">
        <v>25353</v>
      </c>
      <c r="I109" s="17">
        <f t="shared" si="1"/>
        <v>25353</v>
      </c>
      <c r="J109" s="4" t="s">
        <v>13</v>
      </c>
      <c r="K109" s="4" t="s">
        <v>14</v>
      </c>
      <c r="L109" s="6" t="s">
        <v>305</v>
      </c>
      <c r="M109" s="6"/>
    </row>
    <row r="110" spans="1:13" x14ac:dyDescent="0.25">
      <c r="A110" s="1">
        <v>109</v>
      </c>
      <c r="B110" s="1" t="s">
        <v>823</v>
      </c>
      <c r="C110" s="22" t="s">
        <v>306</v>
      </c>
      <c r="D110" s="22" t="s">
        <v>307</v>
      </c>
      <c r="E110" s="5">
        <v>0</v>
      </c>
      <c r="F110" s="5">
        <v>0</v>
      </c>
      <c r="G110" s="5"/>
      <c r="H110" s="5">
        <v>0</v>
      </c>
      <c r="I110" s="17">
        <f t="shared" si="1"/>
        <v>0</v>
      </c>
      <c r="J110" s="4" t="s">
        <v>13</v>
      </c>
      <c r="K110" s="4" t="s">
        <v>14</v>
      </c>
      <c r="L110" s="6">
        <v>5304</v>
      </c>
      <c r="M110" s="6"/>
    </row>
    <row r="111" spans="1:13" ht="38.25" x14ac:dyDescent="0.25">
      <c r="A111" s="1">
        <v>110</v>
      </c>
      <c r="B111" s="1" t="s">
        <v>688</v>
      </c>
      <c r="C111" s="22" t="s">
        <v>308</v>
      </c>
      <c r="D111" s="22" t="s">
        <v>309</v>
      </c>
      <c r="E111" s="5">
        <v>0</v>
      </c>
      <c r="F111" s="5"/>
      <c r="G111" s="5">
        <v>14256</v>
      </c>
      <c r="H111" s="5">
        <v>102546</v>
      </c>
      <c r="I111" s="17">
        <f t="shared" si="1"/>
        <v>116802</v>
      </c>
      <c r="J111" s="4" t="s">
        <v>13</v>
      </c>
      <c r="K111" s="4" t="s">
        <v>14</v>
      </c>
      <c r="L111" s="6" t="s">
        <v>23</v>
      </c>
      <c r="M111" s="6" t="s">
        <v>310</v>
      </c>
    </row>
    <row r="112" spans="1:13" ht="38.25" x14ac:dyDescent="0.25">
      <c r="A112" s="1">
        <v>111</v>
      </c>
      <c r="B112" s="1" t="s">
        <v>689</v>
      </c>
      <c r="C112" s="22" t="s">
        <v>311</v>
      </c>
      <c r="D112" s="22" t="s">
        <v>312</v>
      </c>
      <c r="E112" s="5">
        <v>0</v>
      </c>
      <c r="F112" s="5">
        <v>877392</v>
      </c>
      <c r="G112" s="5">
        <v>554040</v>
      </c>
      <c r="H112" s="5">
        <v>2424068</v>
      </c>
      <c r="I112" s="17">
        <f t="shared" si="1"/>
        <v>3855500</v>
      </c>
      <c r="J112" s="4" t="s">
        <v>13</v>
      </c>
      <c r="K112" s="4" t="s">
        <v>14</v>
      </c>
      <c r="L112" s="6" t="s">
        <v>257</v>
      </c>
      <c r="M112" s="6" t="s">
        <v>313</v>
      </c>
    </row>
    <row r="113" spans="1:13" ht="38.25" x14ac:dyDescent="0.25">
      <c r="A113" s="1">
        <v>112</v>
      </c>
      <c r="B113" s="1" t="s">
        <v>690</v>
      </c>
      <c r="C113" s="22" t="s">
        <v>314</v>
      </c>
      <c r="D113" s="22" t="s">
        <v>315</v>
      </c>
      <c r="E113" s="5">
        <v>0</v>
      </c>
      <c r="F113" s="5">
        <v>0</v>
      </c>
      <c r="G113" s="5">
        <v>0</v>
      </c>
      <c r="H113" s="5">
        <v>589575</v>
      </c>
      <c r="I113" s="17">
        <f t="shared" si="1"/>
        <v>589575</v>
      </c>
      <c r="J113" s="4" t="s">
        <v>13</v>
      </c>
      <c r="K113" s="4" t="s">
        <v>14</v>
      </c>
      <c r="L113" s="6" t="s">
        <v>23</v>
      </c>
      <c r="M113" s="6" t="s">
        <v>316</v>
      </c>
    </row>
    <row r="114" spans="1:13" x14ac:dyDescent="0.25">
      <c r="A114" s="1">
        <v>113</v>
      </c>
      <c r="B114" s="1" t="s">
        <v>691</v>
      </c>
      <c r="C114" s="22" t="s">
        <v>317</v>
      </c>
      <c r="D114" s="22" t="s">
        <v>318</v>
      </c>
      <c r="E114" s="5">
        <v>0</v>
      </c>
      <c r="F114" s="5">
        <v>0</v>
      </c>
      <c r="G114" s="5">
        <v>0</v>
      </c>
      <c r="H114" s="5">
        <v>46413</v>
      </c>
      <c r="I114" s="17">
        <f t="shared" si="1"/>
        <v>46413</v>
      </c>
      <c r="J114" s="4" t="s">
        <v>13</v>
      </c>
      <c r="K114" s="4" t="s">
        <v>45</v>
      </c>
      <c r="L114" s="6" t="s">
        <v>297</v>
      </c>
      <c r="M114" s="6" t="s">
        <v>319</v>
      </c>
    </row>
    <row r="115" spans="1:13" ht="38.25" x14ac:dyDescent="0.25">
      <c r="A115" s="1">
        <v>114</v>
      </c>
      <c r="B115" s="1" t="s">
        <v>692</v>
      </c>
      <c r="C115" s="22" t="s">
        <v>320</v>
      </c>
      <c r="D115" s="22" t="s">
        <v>321</v>
      </c>
      <c r="E115" s="5">
        <v>0</v>
      </c>
      <c r="F115" s="5"/>
      <c r="G115" s="5"/>
      <c r="H115" s="5">
        <v>349137</v>
      </c>
      <c r="I115" s="17">
        <f t="shared" si="1"/>
        <v>349137</v>
      </c>
      <c r="J115" s="4" t="s">
        <v>13</v>
      </c>
      <c r="K115" s="4" t="s">
        <v>14</v>
      </c>
      <c r="L115" s="6" t="s">
        <v>23</v>
      </c>
      <c r="M115" s="6" t="s">
        <v>322</v>
      </c>
    </row>
    <row r="116" spans="1:13" ht="25.5" x14ac:dyDescent="0.25">
      <c r="A116" s="1">
        <v>115</v>
      </c>
      <c r="B116" s="1" t="s">
        <v>693</v>
      </c>
      <c r="C116" s="22" t="s">
        <v>323</v>
      </c>
      <c r="D116" s="22" t="s">
        <v>324</v>
      </c>
      <c r="E116" s="5">
        <v>336377</v>
      </c>
      <c r="F116" s="5">
        <v>113184</v>
      </c>
      <c r="G116" s="5">
        <v>108216</v>
      </c>
      <c r="H116" s="5">
        <v>76356</v>
      </c>
      <c r="I116" s="17">
        <f t="shared" si="1"/>
        <v>634133</v>
      </c>
      <c r="J116" s="4" t="s">
        <v>13</v>
      </c>
      <c r="K116" s="4" t="s">
        <v>14</v>
      </c>
      <c r="L116" s="6" t="s">
        <v>325</v>
      </c>
      <c r="M116" s="6" t="s">
        <v>326</v>
      </c>
    </row>
    <row r="117" spans="1:13" ht="38.25" x14ac:dyDescent="0.25">
      <c r="A117" s="1">
        <v>116</v>
      </c>
      <c r="B117" s="1" t="s">
        <v>694</v>
      </c>
      <c r="C117" s="22" t="s">
        <v>327</v>
      </c>
      <c r="D117" s="22" t="s">
        <v>328</v>
      </c>
      <c r="E117" s="5">
        <v>0</v>
      </c>
      <c r="F117" s="5">
        <v>0</v>
      </c>
      <c r="G117" s="5">
        <v>0</v>
      </c>
      <c r="H117" s="5">
        <v>79083</v>
      </c>
      <c r="I117" s="17">
        <f t="shared" si="1"/>
        <v>79083</v>
      </c>
      <c r="J117" s="4" t="s">
        <v>13</v>
      </c>
      <c r="K117" s="4" t="s">
        <v>14</v>
      </c>
      <c r="L117" s="6" t="s">
        <v>23</v>
      </c>
      <c r="M117" s="6" t="s">
        <v>329</v>
      </c>
    </row>
    <row r="118" spans="1:13" ht="63.75" x14ac:dyDescent="0.25">
      <c r="A118" s="1">
        <v>117</v>
      </c>
      <c r="B118" s="1" t="s">
        <v>695</v>
      </c>
      <c r="C118" s="22" t="s">
        <v>330</v>
      </c>
      <c r="D118" s="22" t="s">
        <v>331</v>
      </c>
      <c r="E118" s="5">
        <v>0</v>
      </c>
      <c r="F118" s="5">
        <v>0</v>
      </c>
      <c r="G118" s="5">
        <v>0</v>
      </c>
      <c r="H118" s="5">
        <v>5573313</v>
      </c>
      <c r="I118" s="17">
        <f t="shared" si="1"/>
        <v>5573313</v>
      </c>
      <c r="J118" s="4" t="s">
        <v>13</v>
      </c>
      <c r="K118" s="4" t="s">
        <v>14</v>
      </c>
      <c r="L118" s="6" t="s">
        <v>332</v>
      </c>
      <c r="M118" s="6" t="s">
        <v>333</v>
      </c>
    </row>
    <row r="119" spans="1:13" ht="38.25" x14ac:dyDescent="0.25">
      <c r="A119" s="1">
        <v>118</v>
      </c>
      <c r="B119" s="1" t="s">
        <v>696</v>
      </c>
      <c r="C119" s="22" t="s">
        <v>334</v>
      </c>
      <c r="D119" s="22" t="s">
        <v>335</v>
      </c>
      <c r="E119" s="5">
        <v>0</v>
      </c>
      <c r="F119" s="5">
        <v>0</v>
      </c>
      <c r="G119" s="5">
        <v>0</v>
      </c>
      <c r="H119" s="5">
        <v>64125</v>
      </c>
      <c r="I119" s="17">
        <f t="shared" si="1"/>
        <v>64125</v>
      </c>
      <c r="J119" s="4" t="s">
        <v>13</v>
      </c>
      <c r="K119" s="4" t="s">
        <v>14</v>
      </c>
      <c r="L119" s="6" t="s">
        <v>336</v>
      </c>
      <c r="M119" s="6"/>
    </row>
    <row r="120" spans="1:13" ht="38.25" x14ac:dyDescent="0.25">
      <c r="A120" s="1">
        <v>119</v>
      </c>
      <c r="B120" s="1" t="s">
        <v>697</v>
      </c>
      <c r="C120" s="22" t="s">
        <v>337</v>
      </c>
      <c r="D120" s="22" t="s">
        <v>338</v>
      </c>
      <c r="E120" s="5">
        <v>0</v>
      </c>
      <c r="F120" s="5">
        <v>505440</v>
      </c>
      <c r="G120" s="5">
        <v>0</v>
      </c>
      <c r="H120" s="5">
        <v>796176</v>
      </c>
      <c r="I120" s="17">
        <f t="shared" si="1"/>
        <v>1301616</v>
      </c>
      <c r="J120" s="4" t="s">
        <v>13</v>
      </c>
      <c r="K120" s="4" t="s">
        <v>14</v>
      </c>
      <c r="L120" s="6" t="s">
        <v>339</v>
      </c>
      <c r="M120" s="6" t="s">
        <v>340</v>
      </c>
    </row>
    <row r="121" spans="1:13" ht="38.25" x14ac:dyDescent="0.25">
      <c r="A121" s="1">
        <v>120</v>
      </c>
      <c r="B121" s="1" t="s">
        <v>698</v>
      </c>
      <c r="C121" s="22" t="s">
        <v>341</v>
      </c>
      <c r="D121" s="22" t="s">
        <v>342</v>
      </c>
      <c r="E121" s="5">
        <v>0</v>
      </c>
      <c r="F121" s="5">
        <v>0</v>
      </c>
      <c r="G121" s="5">
        <v>0</v>
      </c>
      <c r="H121" s="5">
        <v>10692</v>
      </c>
      <c r="I121" s="17">
        <f t="shared" si="1"/>
        <v>10692</v>
      </c>
      <c r="J121" s="4" t="s">
        <v>13</v>
      </c>
      <c r="K121" s="4" t="s">
        <v>14</v>
      </c>
      <c r="L121" s="6" t="s">
        <v>343</v>
      </c>
      <c r="M121" s="6"/>
    </row>
    <row r="122" spans="1:13" ht="76.5" x14ac:dyDescent="0.25">
      <c r="A122" s="1">
        <v>121</v>
      </c>
      <c r="B122" s="1" t="s">
        <v>821</v>
      </c>
      <c r="C122" s="22" t="s">
        <v>344</v>
      </c>
      <c r="D122" s="22" t="s">
        <v>345</v>
      </c>
      <c r="E122" s="5">
        <v>14177000</v>
      </c>
      <c r="F122" s="5">
        <v>0</v>
      </c>
      <c r="G122" s="5">
        <v>0</v>
      </c>
      <c r="H122" s="5">
        <v>0</v>
      </c>
      <c r="I122" s="17">
        <f t="shared" si="1"/>
        <v>14177000</v>
      </c>
      <c r="J122" s="4" t="s">
        <v>19</v>
      </c>
      <c r="K122" s="4" t="s">
        <v>14</v>
      </c>
      <c r="L122" s="6" t="s">
        <v>346</v>
      </c>
      <c r="M122" s="6"/>
    </row>
    <row r="123" spans="1:13" x14ac:dyDescent="0.25">
      <c r="A123" s="1">
        <v>122</v>
      </c>
      <c r="B123" s="1" t="s">
        <v>699</v>
      </c>
      <c r="C123" s="22" t="s">
        <v>347</v>
      </c>
      <c r="D123" s="22" t="s">
        <v>348</v>
      </c>
      <c r="E123" s="5">
        <v>0</v>
      </c>
      <c r="F123" s="5">
        <v>0</v>
      </c>
      <c r="G123" s="5">
        <v>0</v>
      </c>
      <c r="H123" s="5">
        <v>144450</v>
      </c>
      <c r="I123" s="17">
        <f t="shared" si="1"/>
        <v>144450</v>
      </c>
      <c r="J123" s="4" t="s">
        <v>13</v>
      </c>
      <c r="K123" s="4" t="s">
        <v>45</v>
      </c>
      <c r="L123" s="6" t="s">
        <v>297</v>
      </c>
      <c r="M123" s="6" t="s">
        <v>349</v>
      </c>
    </row>
    <row r="124" spans="1:13" ht="38.25" x14ac:dyDescent="0.25">
      <c r="A124" s="1">
        <v>123</v>
      </c>
      <c r="B124" s="1" t="s">
        <v>700</v>
      </c>
      <c r="C124" s="22" t="s">
        <v>350</v>
      </c>
      <c r="D124" s="22" t="s">
        <v>351</v>
      </c>
      <c r="E124" s="5">
        <v>0</v>
      </c>
      <c r="F124" s="5"/>
      <c r="G124" s="5">
        <f>1762209</f>
        <v>1762209</v>
      </c>
      <c r="H124" s="5">
        <v>558125</v>
      </c>
      <c r="I124" s="17">
        <f t="shared" si="1"/>
        <v>2320334</v>
      </c>
      <c r="J124" s="4" t="s">
        <v>13</v>
      </c>
      <c r="K124" s="4" t="s">
        <v>14</v>
      </c>
      <c r="L124" s="6" t="s">
        <v>352</v>
      </c>
      <c r="M124" s="6" t="s">
        <v>353</v>
      </c>
    </row>
    <row r="125" spans="1:13" ht="38.25" x14ac:dyDescent="0.25">
      <c r="A125" s="1">
        <v>124</v>
      </c>
      <c r="B125" s="1" t="s">
        <v>701</v>
      </c>
      <c r="C125" s="22" t="s">
        <v>354</v>
      </c>
      <c r="D125" s="22" t="s">
        <v>355</v>
      </c>
      <c r="E125" s="5">
        <v>0</v>
      </c>
      <c r="F125" s="5">
        <v>0</v>
      </c>
      <c r="G125" s="5">
        <v>0</v>
      </c>
      <c r="H125" s="5">
        <v>1966113</v>
      </c>
      <c r="I125" s="17">
        <f t="shared" si="1"/>
        <v>1966113</v>
      </c>
      <c r="J125" s="4" t="s">
        <v>13</v>
      </c>
      <c r="K125" s="4" t="s">
        <v>14</v>
      </c>
      <c r="L125" s="6" t="s">
        <v>356</v>
      </c>
      <c r="M125" s="6" t="s">
        <v>357</v>
      </c>
    </row>
    <row r="126" spans="1:13" x14ac:dyDescent="0.25">
      <c r="A126" s="1">
        <v>125</v>
      </c>
      <c r="B126" s="1" t="s">
        <v>702</v>
      </c>
      <c r="C126" s="22" t="s">
        <v>358</v>
      </c>
      <c r="D126" s="22" t="s">
        <v>359</v>
      </c>
      <c r="E126" s="5"/>
      <c r="F126" s="5">
        <v>0</v>
      </c>
      <c r="G126" s="5">
        <v>0</v>
      </c>
      <c r="H126" s="5">
        <v>470826</v>
      </c>
      <c r="I126" s="17">
        <f t="shared" si="1"/>
        <v>470826</v>
      </c>
      <c r="J126" s="4" t="s">
        <v>13</v>
      </c>
      <c r="K126" s="4" t="s">
        <v>45</v>
      </c>
      <c r="L126" s="6" t="s">
        <v>297</v>
      </c>
      <c r="M126" s="4" t="s">
        <v>360</v>
      </c>
    </row>
    <row r="127" spans="1:13" ht="38.25" x14ac:dyDescent="0.25">
      <c r="A127" s="1">
        <v>126</v>
      </c>
      <c r="B127" s="1" t="s">
        <v>703</v>
      </c>
      <c r="C127" s="22" t="s">
        <v>361</v>
      </c>
      <c r="D127" s="22" t="s">
        <v>362</v>
      </c>
      <c r="E127" s="5">
        <v>0</v>
      </c>
      <c r="F127" s="5">
        <v>0</v>
      </c>
      <c r="G127" s="5">
        <v>0</v>
      </c>
      <c r="H127" s="5">
        <v>54324</v>
      </c>
      <c r="I127" s="17">
        <f t="shared" si="1"/>
        <v>54324</v>
      </c>
      <c r="J127" s="4" t="s">
        <v>13</v>
      </c>
      <c r="K127" s="4" t="s">
        <v>14</v>
      </c>
      <c r="L127" s="6" t="s">
        <v>356</v>
      </c>
      <c r="M127" s="6" t="s">
        <v>363</v>
      </c>
    </row>
    <row r="128" spans="1:13" ht="25.5" x14ac:dyDescent="0.25">
      <c r="A128" s="1">
        <v>127</v>
      </c>
      <c r="B128" s="1" t="s">
        <v>704</v>
      </c>
      <c r="C128" s="22" t="s">
        <v>364</v>
      </c>
      <c r="D128" s="22" t="s">
        <v>365</v>
      </c>
      <c r="E128" s="5">
        <v>0</v>
      </c>
      <c r="F128" s="5">
        <v>0</v>
      </c>
      <c r="G128" s="5">
        <v>14256</v>
      </c>
      <c r="H128" s="5">
        <v>648432</v>
      </c>
      <c r="I128" s="17">
        <f t="shared" si="1"/>
        <v>662688</v>
      </c>
      <c r="J128" s="4" t="s">
        <v>13</v>
      </c>
      <c r="K128" s="4" t="s">
        <v>45</v>
      </c>
      <c r="L128" s="6" t="s">
        <v>366</v>
      </c>
      <c r="M128" s="6" t="s">
        <v>367</v>
      </c>
    </row>
    <row r="129" spans="1:13" ht="38.25" x14ac:dyDescent="0.25">
      <c r="A129" s="1">
        <v>128</v>
      </c>
      <c r="B129" s="1" t="s">
        <v>705</v>
      </c>
      <c r="C129" s="22" t="s">
        <v>368</v>
      </c>
      <c r="D129" s="22" t="s">
        <v>369</v>
      </c>
      <c r="E129" s="5">
        <v>0</v>
      </c>
      <c r="F129" s="5">
        <v>0</v>
      </c>
      <c r="G129" s="5">
        <v>0</v>
      </c>
      <c r="H129" s="5">
        <v>512524</v>
      </c>
      <c r="I129" s="17">
        <f t="shared" si="1"/>
        <v>512524</v>
      </c>
      <c r="J129" s="4" t="s">
        <v>13</v>
      </c>
      <c r="K129" s="4" t="s">
        <v>14</v>
      </c>
      <c r="L129" s="6" t="s">
        <v>23</v>
      </c>
      <c r="M129" s="6" t="s">
        <v>370</v>
      </c>
    </row>
    <row r="130" spans="1:13" ht="38.25" x14ac:dyDescent="0.25">
      <c r="A130" s="1">
        <v>129</v>
      </c>
      <c r="B130" s="1" t="s">
        <v>706</v>
      </c>
      <c r="C130" s="22" t="s">
        <v>371</v>
      </c>
      <c r="D130" s="22" t="s">
        <v>372</v>
      </c>
      <c r="E130" s="5">
        <v>727704</v>
      </c>
      <c r="F130" s="5">
        <v>1375704</v>
      </c>
      <c r="G130" s="5">
        <v>534384</v>
      </c>
      <c r="H130" s="5">
        <v>810486</v>
      </c>
      <c r="I130" s="17">
        <f t="shared" si="1"/>
        <v>3448278</v>
      </c>
      <c r="J130" s="4" t="s">
        <v>13</v>
      </c>
      <c r="K130" s="4" t="s">
        <v>14</v>
      </c>
      <c r="L130" s="6" t="s">
        <v>373</v>
      </c>
      <c r="M130" s="6" t="s">
        <v>374</v>
      </c>
    </row>
    <row r="131" spans="1:13" ht="38.25" x14ac:dyDescent="0.25">
      <c r="A131" s="1">
        <v>130</v>
      </c>
      <c r="B131" s="1" t="s">
        <v>707</v>
      </c>
      <c r="C131" s="22" t="s">
        <v>375</v>
      </c>
      <c r="D131" s="22" t="s">
        <v>376</v>
      </c>
      <c r="E131" s="5"/>
      <c r="F131" s="5">
        <v>0</v>
      </c>
      <c r="G131" s="5">
        <v>0</v>
      </c>
      <c r="H131" s="5">
        <f>526500+14256</f>
        <v>540756</v>
      </c>
      <c r="I131" s="17">
        <f t="shared" ref="I131:I194" si="2">E131+F131+G131+H131</f>
        <v>540756</v>
      </c>
      <c r="J131" s="4" t="s">
        <v>13</v>
      </c>
      <c r="K131" s="4" t="s">
        <v>14</v>
      </c>
      <c r="L131" s="6" t="s">
        <v>23</v>
      </c>
      <c r="M131" s="6" t="s">
        <v>377</v>
      </c>
    </row>
    <row r="132" spans="1:13" ht="51" x14ac:dyDescent="0.25">
      <c r="A132" s="1">
        <v>131</v>
      </c>
      <c r="B132" s="1" t="s">
        <v>708</v>
      </c>
      <c r="C132" s="22" t="s">
        <v>378</v>
      </c>
      <c r="D132" s="22" t="s">
        <v>379</v>
      </c>
      <c r="E132" s="5">
        <v>9697508</v>
      </c>
      <c r="F132" s="5">
        <v>6766092</v>
      </c>
      <c r="G132" s="5">
        <v>2515320</v>
      </c>
      <c r="H132" s="5">
        <v>7738416</v>
      </c>
      <c r="I132" s="17">
        <f t="shared" si="2"/>
        <v>26717336</v>
      </c>
      <c r="J132" s="4" t="s">
        <v>13</v>
      </c>
      <c r="K132" s="4" t="s">
        <v>14</v>
      </c>
      <c r="L132" s="6" t="s">
        <v>380</v>
      </c>
      <c r="M132" s="6" t="s">
        <v>381</v>
      </c>
    </row>
    <row r="133" spans="1:13" ht="38.25" x14ac:dyDescent="0.25">
      <c r="A133" s="1">
        <v>132</v>
      </c>
      <c r="B133" s="1" t="s">
        <v>825</v>
      </c>
      <c r="C133" s="22" t="s">
        <v>382</v>
      </c>
      <c r="D133" s="22" t="s">
        <v>383</v>
      </c>
      <c r="E133" s="5">
        <v>0</v>
      </c>
      <c r="F133" s="5">
        <v>0</v>
      </c>
      <c r="G133" s="5">
        <v>0</v>
      </c>
      <c r="H133" s="5">
        <v>63909</v>
      </c>
      <c r="I133" s="17">
        <f t="shared" si="2"/>
        <v>63909</v>
      </c>
      <c r="J133" s="4" t="s">
        <v>13</v>
      </c>
      <c r="K133" s="4" t="s">
        <v>14</v>
      </c>
      <c r="L133" s="6" t="s">
        <v>23</v>
      </c>
      <c r="M133" s="6" t="s">
        <v>384</v>
      </c>
    </row>
    <row r="134" spans="1:13" ht="38.25" x14ac:dyDescent="0.25">
      <c r="A134" s="1">
        <v>133</v>
      </c>
      <c r="B134" s="1" t="s">
        <v>709</v>
      </c>
      <c r="C134" s="22" t="s">
        <v>385</v>
      </c>
      <c r="D134" s="22" t="s">
        <v>386</v>
      </c>
      <c r="E134" s="5">
        <v>0</v>
      </c>
      <c r="F134" s="5">
        <v>0</v>
      </c>
      <c r="G134" s="5">
        <v>0</v>
      </c>
      <c r="H134" s="5">
        <v>391503</v>
      </c>
      <c r="I134" s="17">
        <f t="shared" si="2"/>
        <v>391503</v>
      </c>
      <c r="J134" s="4" t="s">
        <v>13</v>
      </c>
      <c r="K134" s="4" t="s">
        <v>14</v>
      </c>
      <c r="L134" s="6" t="s">
        <v>23</v>
      </c>
      <c r="M134" s="6" t="s">
        <v>387</v>
      </c>
    </row>
    <row r="135" spans="1:13" x14ac:dyDescent="0.25">
      <c r="A135" s="1">
        <v>134</v>
      </c>
      <c r="B135" s="1" t="s">
        <v>824</v>
      </c>
      <c r="C135" s="22" t="s">
        <v>388</v>
      </c>
      <c r="D135" s="22" t="s">
        <v>389</v>
      </c>
      <c r="E135" s="5">
        <v>0</v>
      </c>
      <c r="F135" s="5">
        <v>0</v>
      </c>
      <c r="G135" s="5">
        <v>0</v>
      </c>
      <c r="H135" s="5">
        <v>0</v>
      </c>
      <c r="I135" s="17">
        <f t="shared" si="2"/>
        <v>0</v>
      </c>
      <c r="J135" s="4" t="s">
        <v>13</v>
      </c>
      <c r="K135" s="4" t="s">
        <v>14</v>
      </c>
      <c r="L135" s="6">
        <v>5304</v>
      </c>
      <c r="M135" s="6"/>
    </row>
    <row r="136" spans="1:13" x14ac:dyDescent="0.25">
      <c r="A136" s="1">
        <v>135</v>
      </c>
      <c r="B136" s="1" t="s">
        <v>799</v>
      </c>
      <c r="C136" s="22" t="s">
        <v>390</v>
      </c>
      <c r="D136" s="22" t="s">
        <v>391</v>
      </c>
      <c r="E136" s="5">
        <v>0</v>
      </c>
      <c r="F136" s="5">
        <v>0</v>
      </c>
      <c r="G136" s="5">
        <v>0</v>
      </c>
      <c r="H136" s="5">
        <v>0</v>
      </c>
      <c r="I136" s="17">
        <f t="shared" si="2"/>
        <v>0</v>
      </c>
      <c r="J136" s="4" t="s">
        <v>13</v>
      </c>
      <c r="K136" s="4" t="s">
        <v>45</v>
      </c>
      <c r="L136" s="6" t="s">
        <v>297</v>
      </c>
      <c r="M136" s="6" t="s">
        <v>392</v>
      </c>
    </row>
    <row r="137" spans="1:13" ht="38.25" x14ac:dyDescent="0.25">
      <c r="A137" s="1">
        <v>136</v>
      </c>
      <c r="B137" s="1" t="s">
        <v>710</v>
      </c>
      <c r="C137" s="22" t="s">
        <v>393</v>
      </c>
      <c r="D137" s="22" t="s">
        <v>394</v>
      </c>
      <c r="E137" s="5">
        <v>0</v>
      </c>
      <c r="F137" s="5">
        <v>0</v>
      </c>
      <c r="G137" s="5">
        <v>1617905</v>
      </c>
      <c r="H137" s="5">
        <v>1536188</v>
      </c>
      <c r="I137" s="17">
        <f t="shared" si="2"/>
        <v>3154093</v>
      </c>
      <c r="J137" s="4" t="s">
        <v>19</v>
      </c>
      <c r="K137" s="4" t="s">
        <v>14</v>
      </c>
      <c r="L137" s="6" t="s">
        <v>395</v>
      </c>
      <c r="M137" s="6"/>
    </row>
    <row r="138" spans="1:13" ht="38.25" x14ac:dyDescent="0.25">
      <c r="A138" s="1">
        <v>137</v>
      </c>
      <c r="B138" s="1" t="s">
        <v>800</v>
      </c>
      <c r="C138" s="22" t="s">
        <v>396</v>
      </c>
      <c r="D138" s="22" t="s">
        <v>397</v>
      </c>
      <c r="E138" s="5">
        <v>1102294</v>
      </c>
      <c r="F138" s="5">
        <v>0</v>
      </c>
      <c r="G138" s="5">
        <v>0</v>
      </c>
      <c r="H138" s="5">
        <v>0</v>
      </c>
      <c r="I138" s="17">
        <f t="shared" si="2"/>
        <v>1102294</v>
      </c>
      <c r="J138" s="4" t="s">
        <v>13</v>
      </c>
      <c r="K138" s="4" t="s">
        <v>14</v>
      </c>
      <c r="L138" s="6" t="s">
        <v>398</v>
      </c>
      <c r="M138" s="6" t="s">
        <v>399</v>
      </c>
    </row>
    <row r="139" spans="1:13" ht="51" x14ac:dyDescent="0.25">
      <c r="A139" s="1">
        <v>138</v>
      </c>
      <c r="B139" s="1" t="s">
        <v>711</v>
      </c>
      <c r="C139" s="22" t="s">
        <v>400</v>
      </c>
      <c r="D139" s="22" t="s">
        <v>401</v>
      </c>
      <c r="E139" s="5">
        <v>191720</v>
      </c>
      <c r="F139" s="5">
        <v>0</v>
      </c>
      <c r="G139" s="5">
        <v>0</v>
      </c>
      <c r="H139" s="5">
        <v>34378</v>
      </c>
      <c r="I139" s="17">
        <f t="shared" si="2"/>
        <v>226098</v>
      </c>
      <c r="J139" s="4" t="s">
        <v>13</v>
      </c>
      <c r="K139" s="4" t="s">
        <v>14</v>
      </c>
      <c r="L139" s="6" t="s">
        <v>402</v>
      </c>
      <c r="M139" s="6" t="s">
        <v>403</v>
      </c>
    </row>
    <row r="140" spans="1:13" ht="38.25" x14ac:dyDescent="0.25">
      <c r="A140" s="1">
        <v>139</v>
      </c>
      <c r="B140" s="1" t="s">
        <v>712</v>
      </c>
      <c r="C140" s="22" t="s">
        <v>404</v>
      </c>
      <c r="D140" s="22" t="s">
        <v>405</v>
      </c>
      <c r="E140" s="5">
        <v>0</v>
      </c>
      <c r="F140" s="5">
        <v>0</v>
      </c>
      <c r="G140" s="5">
        <v>531576</v>
      </c>
      <c r="H140" s="5">
        <v>2131902</v>
      </c>
      <c r="I140" s="17">
        <f t="shared" si="2"/>
        <v>2663478</v>
      </c>
      <c r="J140" s="4" t="s">
        <v>13</v>
      </c>
      <c r="K140" s="4" t="s">
        <v>14</v>
      </c>
      <c r="L140" s="6" t="s">
        <v>398</v>
      </c>
      <c r="M140" s="6" t="s">
        <v>406</v>
      </c>
    </row>
    <row r="141" spans="1:13" x14ac:dyDescent="0.25">
      <c r="A141" s="1">
        <v>140</v>
      </c>
      <c r="B141" s="1" t="s">
        <v>822</v>
      </c>
      <c r="C141" s="22" t="s">
        <v>407</v>
      </c>
      <c r="D141" s="22" t="s">
        <v>408</v>
      </c>
      <c r="E141" s="5">
        <v>0</v>
      </c>
      <c r="F141" s="5">
        <v>0</v>
      </c>
      <c r="G141" s="5"/>
      <c r="H141" s="5">
        <v>0</v>
      </c>
      <c r="I141" s="17">
        <f t="shared" si="2"/>
        <v>0</v>
      </c>
      <c r="J141" s="4" t="s">
        <v>13</v>
      </c>
      <c r="K141" s="4" t="s">
        <v>14</v>
      </c>
      <c r="L141" s="6">
        <v>5304</v>
      </c>
      <c r="M141" s="6"/>
    </row>
    <row r="142" spans="1:13" ht="38.25" x14ac:dyDescent="0.25">
      <c r="A142" s="1">
        <v>141</v>
      </c>
      <c r="B142" s="1" t="s">
        <v>713</v>
      </c>
      <c r="C142" s="22" t="s">
        <v>409</v>
      </c>
      <c r="D142" s="22" t="s">
        <v>410</v>
      </c>
      <c r="E142" s="5">
        <v>0</v>
      </c>
      <c r="F142" s="5">
        <v>0</v>
      </c>
      <c r="G142" s="5">
        <v>0</v>
      </c>
      <c r="H142" s="5">
        <v>81090</v>
      </c>
      <c r="I142" s="17">
        <f t="shared" si="2"/>
        <v>81090</v>
      </c>
      <c r="J142" s="4" t="s">
        <v>13</v>
      </c>
      <c r="K142" s="4" t="s">
        <v>45</v>
      </c>
      <c r="L142" s="6" t="s">
        <v>411</v>
      </c>
      <c r="M142" s="6"/>
    </row>
    <row r="143" spans="1:13" x14ac:dyDescent="0.25">
      <c r="A143" s="1">
        <v>142</v>
      </c>
      <c r="B143" s="1" t="s">
        <v>801</v>
      </c>
      <c r="C143" s="22" t="s">
        <v>412</v>
      </c>
      <c r="D143" s="22" t="s">
        <v>413</v>
      </c>
      <c r="E143" s="5">
        <v>0</v>
      </c>
      <c r="F143" s="5">
        <v>0</v>
      </c>
      <c r="G143" s="5">
        <v>0</v>
      </c>
      <c r="H143" s="5">
        <v>0</v>
      </c>
      <c r="I143" s="17">
        <f t="shared" si="2"/>
        <v>0</v>
      </c>
      <c r="J143" s="4" t="s">
        <v>13</v>
      </c>
      <c r="K143" s="4" t="s">
        <v>45</v>
      </c>
      <c r="L143" s="6" t="s">
        <v>414</v>
      </c>
      <c r="M143" s="6" t="s">
        <v>415</v>
      </c>
    </row>
    <row r="144" spans="1:13" x14ac:dyDescent="0.25">
      <c r="A144" s="1">
        <v>143</v>
      </c>
      <c r="B144" s="1" t="s">
        <v>802</v>
      </c>
      <c r="C144" s="22" t="s">
        <v>416</v>
      </c>
      <c r="D144" s="22" t="s">
        <v>417</v>
      </c>
      <c r="E144" s="5">
        <v>0</v>
      </c>
      <c r="F144" s="5">
        <v>0</v>
      </c>
      <c r="G144" s="5">
        <v>0</v>
      </c>
      <c r="H144" s="5">
        <v>0</v>
      </c>
      <c r="I144" s="17">
        <f t="shared" si="2"/>
        <v>0</v>
      </c>
      <c r="J144" s="4" t="s">
        <v>13</v>
      </c>
      <c r="K144" s="4" t="s">
        <v>14</v>
      </c>
      <c r="L144" s="6"/>
      <c r="M144" s="6"/>
    </row>
    <row r="145" spans="1:13" ht="38.25" x14ac:dyDescent="0.25">
      <c r="A145" s="1">
        <v>144</v>
      </c>
      <c r="B145" s="1" t="s">
        <v>714</v>
      </c>
      <c r="C145" s="22" t="s">
        <v>418</v>
      </c>
      <c r="D145" s="22" t="s">
        <v>419</v>
      </c>
      <c r="E145" s="5">
        <v>0</v>
      </c>
      <c r="F145" s="5">
        <v>0</v>
      </c>
      <c r="G145" s="5">
        <v>0</v>
      </c>
      <c r="H145" s="5">
        <v>110025</v>
      </c>
      <c r="I145" s="17">
        <f t="shared" si="2"/>
        <v>110025</v>
      </c>
      <c r="J145" s="4" t="s">
        <v>13</v>
      </c>
      <c r="K145" s="4" t="s">
        <v>14</v>
      </c>
      <c r="L145" s="6" t="s">
        <v>23</v>
      </c>
      <c r="M145" s="6" t="s">
        <v>420</v>
      </c>
    </row>
    <row r="146" spans="1:13" ht="38.25" x14ac:dyDescent="0.25">
      <c r="A146" s="1">
        <v>145</v>
      </c>
      <c r="B146" s="1" t="s">
        <v>715</v>
      </c>
      <c r="C146" s="22" t="s">
        <v>421</v>
      </c>
      <c r="D146" s="22" t="s">
        <v>422</v>
      </c>
      <c r="E146" s="5">
        <v>0</v>
      </c>
      <c r="F146" s="5">
        <v>0</v>
      </c>
      <c r="G146" s="5">
        <v>0</v>
      </c>
      <c r="H146" s="5">
        <v>1514635</v>
      </c>
      <c r="I146" s="17">
        <f t="shared" si="2"/>
        <v>1514635</v>
      </c>
      <c r="J146" s="4" t="s">
        <v>13</v>
      </c>
      <c r="K146" s="4" t="s">
        <v>14</v>
      </c>
      <c r="L146" s="6" t="s">
        <v>23</v>
      </c>
      <c r="M146" s="6" t="s">
        <v>423</v>
      </c>
    </row>
    <row r="147" spans="1:13" ht="38.25" x14ac:dyDescent="0.25">
      <c r="A147" s="1">
        <v>146</v>
      </c>
      <c r="B147" s="1" t="s">
        <v>716</v>
      </c>
      <c r="C147" s="22" t="s">
        <v>424</v>
      </c>
      <c r="D147" s="22" t="s">
        <v>425</v>
      </c>
      <c r="E147" s="5">
        <v>0</v>
      </c>
      <c r="F147" s="5">
        <v>108025</v>
      </c>
      <c r="G147" s="5">
        <v>168048</v>
      </c>
      <c r="H147" s="5">
        <v>214493</v>
      </c>
      <c r="I147" s="17">
        <f t="shared" si="2"/>
        <v>490566</v>
      </c>
      <c r="J147" s="4" t="s">
        <v>13</v>
      </c>
      <c r="K147" s="4" t="s">
        <v>14</v>
      </c>
      <c r="L147" s="6" t="s">
        <v>426</v>
      </c>
      <c r="M147" s="6" t="s">
        <v>427</v>
      </c>
    </row>
    <row r="148" spans="1:13" ht="51" x14ac:dyDescent="0.25">
      <c r="A148" s="1">
        <v>147</v>
      </c>
      <c r="B148" s="1" t="s">
        <v>717</v>
      </c>
      <c r="C148" s="22" t="s">
        <v>428</v>
      </c>
      <c r="D148" s="22" t="s">
        <v>429</v>
      </c>
      <c r="E148" s="5">
        <v>0</v>
      </c>
      <c r="F148" s="5">
        <v>0</v>
      </c>
      <c r="G148" s="5">
        <v>0</v>
      </c>
      <c r="H148" s="5">
        <v>778275</v>
      </c>
      <c r="I148" s="17">
        <f t="shared" si="2"/>
        <v>778275</v>
      </c>
      <c r="J148" s="4" t="s">
        <v>13</v>
      </c>
      <c r="K148" s="4" t="s">
        <v>45</v>
      </c>
      <c r="L148" s="6" t="s">
        <v>430</v>
      </c>
      <c r="M148" s="6" t="s">
        <v>431</v>
      </c>
    </row>
    <row r="149" spans="1:13" ht="38.25" x14ac:dyDescent="0.25">
      <c r="A149" s="1">
        <v>148</v>
      </c>
      <c r="B149" s="1" t="s">
        <v>718</v>
      </c>
      <c r="C149" s="22" t="s">
        <v>432</v>
      </c>
      <c r="D149" s="22" t="s">
        <v>433</v>
      </c>
      <c r="E149" s="5">
        <v>0</v>
      </c>
      <c r="F149" s="5">
        <v>1191996</v>
      </c>
      <c r="G149" s="5">
        <v>548316</v>
      </c>
      <c r="H149" s="5">
        <v>1519722</v>
      </c>
      <c r="I149" s="17">
        <f t="shared" si="2"/>
        <v>3260034</v>
      </c>
      <c r="J149" s="4" t="s">
        <v>13</v>
      </c>
      <c r="K149" s="4" t="s">
        <v>14</v>
      </c>
      <c r="L149" s="6" t="s">
        <v>434</v>
      </c>
      <c r="M149" s="6" t="s">
        <v>435</v>
      </c>
    </row>
    <row r="150" spans="1:13" ht="38.25" x14ac:dyDescent="0.25">
      <c r="A150" s="1">
        <v>149</v>
      </c>
      <c r="B150" s="1" t="s">
        <v>719</v>
      </c>
      <c r="C150" s="22" t="s">
        <v>436</v>
      </c>
      <c r="D150" s="22" t="s">
        <v>437</v>
      </c>
      <c r="E150" s="5"/>
      <c r="F150" s="5">
        <v>0</v>
      </c>
      <c r="G150" s="5">
        <v>0</v>
      </c>
      <c r="H150" s="5">
        <v>3247308</v>
      </c>
      <c r="I150" s="17">
        <f t="shared" si="2"/>
        <v>3247308</v>
      </c>
      <c r="J150" s="4" t="s">
        <v>13</v>
      </c>
      <c r="K150" s="4" t="s">
        <v>14</v>
      </c>
      <c r="L150" s="6" t="s">
        <v>23</v>
      </c>
      <c r="M150" s="6" t="s">
        <v>438</v>
      </c>
    </row>
    <row r="151" spans="1:13" ht="38.25" x14ac:dyDescent="0.25">
      <c r="A151" s="1">
        <v>150</v>
      </c>
      <c r="B151" s="1" t="s">
        <v>803</v>
      </c>
      <c r="C151" s="22" t="s">
        <v>439</v>
      </c>
      <c r="D151" s="22" t="s">
        <v>440</v>
      </c>
      <c r="E151" s="5">
        <v>0</v>
      </c>
      <c r="F151" s="5">
        <v>0</v>
      </c>
      <c r="G151" s="5">
        <v>657033</v>
      </c>
      <c r="H151" s="5">
        <v>0</v>
      </c>
      <c r="I151" s="17">
        <f t="shared" si="2"/>
        <v>657033</v>
      </c>
      <c r="J151" s="4" t="s">
        <v>13</v>
      </c>
      <c r="K151" s="4" t="s">
        <v>14</v>
      </c>
      <c r="L151" s="6" t="s">
        <v>441</v>
      </c>
      <c r="M151" s="6" t="s">
        <v>442</v>
      </c>
    </row>
    <row r="152" spans="1:13" x14ac:dyDescent="0.25">
      <c r="A152" s="1">
        <v>151</v>
      </c>
      <c r="B152" s="1" t="s">
        <v>720</v>
      </c>
      <c r="C152" s="22" t="s">
        <v>443</v>
      </c>
      <c r="D152" s="22" t="s">
        <v>444</v>
      </c>
      <c r="E152" s="5">
        <v>0</v>
      </c>
      <c r="F152" s="5">
        <v>0</v>
      </c>
      <c r="G152" s="5">
        <v>0</v>
      </c>
      <c r="H152" s="5">
        <v>492264</v>
      </c>
      <c r="I152" s="17">
        <f t="shared" si="2"/>
        <v>492264</v>
      </c>
      <c r="J152" s="4" t="s">
        <v>13</v>
      </c>
      <c r="K152" s="4" t="s">
        <v>45</v>
      </c>
      <c r="L152" s="6" t="s">
        <v>414</v>
      </c>
      <c r="M152" s="6" t="s">
        <v>445</v>
      </c>
    </row>
    <row r="153" spans="1:13" ht="25.5" x14ac:dyDescent="0.25">
      <c r="A153" s="1">
        <v>152</v>
      </c>
      <c r="B153" s="1" t="s">
        <v>804</v>
      </c>
      <c r="C153" s="22" t="s">
        <v>446</v>
      </c>
      <c r="D153" s="22" t="s">
        <v>447</v>
      </c>
      <c r="E153" s="5">
        <v>0</v>
      </c>
      <c r="F153" s="5"/>
      <c r="G153" s="5">
        <f>2454518</f>
        <v>2454518</v>
      </c>
      <c r="H153" s="5"/>
      <c r="I153" s="17">
        <f t="shared" si="2"/>
        <v>2454518</v>
      </c>
      <c r="J153" s="4" t="s">
        <v>13</v>
      </c>
      <c r="K153" s="4" t="s">
        <v>14</v>
      </c>
      <c r="L153" s="6" t="s">
        <v>448</v>
      </c>
      <c r="M153" s="6" t="s">
        <v>449</v>
      </c>
    </row>
    <row r="154" spans="1:13" ht="25.5" x14ac:dyDescent="0.25">
      <c r="A154" s="1">
        <v>153</v>
      </c>
      <c r="B154" s="1" t="s">
        <v>805</v>
      </c>
      <c r="C154" s="22" t="s">
        <v>450</v>
      </c>
      <c r="D154" s="22" t="s">
        <v>451</v>
      </c>
      <c r="E154" s="5">
        <v>663913</v>
      </c>
      <c r="F154" s="5">
        <v>0</v>
      </c>
      <c r="G154" s="5">
        <v>0</v>
      </c>
      <c r="H154" s="5">
        <v>0</v>
      </c>
      <c r="I154" s="17">
        <f t="shared" si="2"/>
        <v>663913</v>
      </c>
      <c r="J154" s="4" t="s">
        <v>13</v>
      </c>
      <c r="K154" s="4" t="s">
        <v>14</v>
      </c>
      <c r="L154" s="6" t="s">
        <v>448</v>
      </c>
      <c r="M154" s="6" t="s">
        <v>452</v>
      </c>
    </row>
    <row r="155" spans="1:13" ht="38.25" x14ac:dyDescent="0.25">
      <c r="A155" s="1">
        <v>154</v>
      </c>
      <c r="B155" s="1" t="s">
        <v>721</v>
      </c>
      <c r="C155" s="22" t="s">
        <v>453</v>
      </c>
      <c r="D155" s="22" t="s">
        <v>454</v>
      </c>
      <c r="E155" s="5"/>
      <c r="F155" s="5">
        <v>0</v>
      </c>
      <c r="G155" s="5">
        <v>0</v>
      </c>
      <c r="H155" s="5">
        <f>426735+38880</f>
        <v>465615</v>
      </c>
      <c r="I155" s="17">
        <f t="shared" si="2"/>
        <v>465615</v>
      </c>
      <c r="J155" s="4" t="s">
        <v>13</v>
      </c>
      <c r="K155" s="4" t="s">
        <v>14</v>
      </c>
      <c r="L155" s="6" t="s">
        <v>23</v>
      </c>
      <c r="M155" s="4" t="s">
        <v>455</v>
      </c>
    </row>
    <row r="156" spans="1:13" ht="51" x14ac:dyDescent="0.25">
      <c r="A156" s="1">
        <v>155</v>
      </c>
      <c r="B156" s="1" t="s">
        <v>722</v>
      </c>
      <c r="C156" s="22" t="s">
        <v>456</v>
      </c>
      <c r="D156" s="22" t="s">
        <v>457</v>
      </c>
      <c r="E156" s="5">
        <v>0</v>
      </c>
      <c r="F156" s="5">
        <v>4892568</v>
      </c>
      <c r="G156" s="5">
        <v>1592016</v>
      </c>
      <c r="H156" s="5">
        <v>7980691</v>
      </c>
      <c r="I156" s="17">
        <f t="shared" si="2"/>
        <v>14465275</v>
      </c>
      <c r="J156" s="4" t="s">
        <v>13</v>
      </c>
      <c r="K156" s="4" t="s">
        <v>14</v>
      </c>
      <c r="L156" s="6" t="s">
        <v>458</v>
      </c>
      <c r="M156" s="6" t="s">
        <v>459</v>
      </c>
    </row>
    <row r="157" spans="1:13" ht="25.5" x14ac:dyDescent="0.25">
      <c r="A157" s="1">
        <v>156</v>
      </c>
      <c r="B157" s="1" t="s">
        <v>723</v>
      </c>
      <c r="C157" s="22" t="s">
        <v>460</v>
      </c>
      <c r="D157" s="22" t="s">
        <v>724</v>
      </c>
      <c r="E157" s="5">
        <v>0</v>
      </c>
      <c r="F157" s="5">
        <v>0</v>
      </c>
      <c r="G157" s="5">
        <v>0</v>
      </c>
      <c r="H157" s="5">
        <v>189594</v>
      </c>
      <c r="I157" s="17">
        <f t="shared" si="2"/>
        <v>189594</v>
      </c>
      <c r="J157" s="4" t="s">
        <v>13</v>
      </c>
      <c r="K157" s="4" t="s">
        <v>14</v>
      </c>
      <c r="L157" s="6" t="s">
        <v>461</v>
      </c>
      <c r="M157" s="6"/>
    </row>
    <row r="158" spans="1:13" x14ac:dyDescent="0.25">
      <c r="A158" s="1">
        <v>157</v>
      </c>
      <c r="B158" s="1" t="s">
        <v>806</v>
      </c>
      <c r="C158" s="22" t="s">
        <v>462</v>
      </c>
      <c r="D158" s="22" t="s">
        <v>463</v>
      </c>
      <c r="E158" s="5">
        <v>0</v>
      </c>
      <c r="F158" s="5">
        <v>0</v>
      </c>
      <c r="G158" s="5">
        <v>0</v>
      </c>
      <c r="H158" s="5">
        <v>0</v>
      </c>
      <c r="I158" s="17">
        <f t="shared" si="2"/>
        <v>0</v>
      </c>
      <c r="J158" s="4" t="s">
        <v>19</v>
      </c>
      <c r="K158" s="4" t="s">
        <v>14</v>
      </c>
      <c r="L158" s="6">
        <v>5304</v>
      </c>
      <c r="M158" s="6"/>
    </row>
    <row r="159" spans="1:13" x14ac:dyDescent="0.25">
      <c r="A159" s="1">
        <v>158</v>
      </c>
      <c r="B159" s="1" t="s">
        <v>725</v>
      </c>
      <c r="C159" s="22" t="s">
        <v>464</v>
      </c>
      <c r="D159" s="22" t="s">
        <v>465</v>
      </c>
      <c r="E159" s="5">
        <v>0</v>
      </c>
      <c r="F159" s="5">
        <v>0</v>
      </c>
      <c r="G159" s="5">
        <v>0</v>
      </c>
      <c r="H159" s="5">
        <v>321732</v>
      </c>
      <c r="I159" s="17">
        <f t="shared" si="2"/>
        <v>321732</v>
      </c>
      <c r="J159" s="4" t="s">
        <v>13</v>
      </c>
      <c r="K159" s="4" t="s">
        <v>45</v>
      </c>
      <c r="L159" s="6" t="s">
        <v>414</v>
      </c>
      <c r="M159" s="6" t="s">
        <v>466</v>
      </c>
    </row>
    <row r="160" spans="1:13" x14ac:dyDescent="0.25">
      <c r="A160" s="1">
        <v>159</v>
      </c>
      <c r="B160" s="1" t="s">
        <v>825</v>
      </c>
      <c r="C160" s="22" t="s">
        <v>467</v>
      </c>
      <c r="D160" s="22" t="s">
        <v>468</v>
      </c>
      <c r="E160" s="5">
        <v>0</v>
      </c>
      <c r="F160" s="5">
        <v>0</v>
      </c>
      <c r="G160" s="5">
        <v>0</v>
      </c>
      <c r="H160" s="5">
        <v>155790</v>
      </c>
      <c r="I160" s="17">
        <f t="shared" si="2"/>
        <v>155790</v>
      </c>
      <c r="J160" s="4" t="s">
        <v>13</v>
      </c>
      <c r="K160" s="4" t="s">
        <v>45</v>
      </c>
      <c r="L160" s="6" t="s">
        <v>414</v>
      </c>
      <c r="M160" s="4" t="s">
        <v>469</v>
      </c>
    </row>
    <row r="161" spans="1:13" ht="51" x14ac:dyDescent="0.25">
      <c r="A161" s="1">
        <v>160</v>
      </c>
      <c r="B161" s="1" t="s">
        <v>726</v>
      </c>
      <c r="C161" s="22" t="s">
        <v>470</v>
      </c>
      <c r="D161" s="22" t="s">
        <v>471</v>
      </c>
      <c r="E161" s="5">
        <v>0</v>
      </c>
      <c r="F161" s="5">
        <v>0</v>
      </c>
      <c r="G161" s="5">
        <v>226546</v>
      </c>
      <c r="H161" s="5">
        <v>25873189</v>
      </c>
      <c r="I161" s="17">
        <f t="shared" si="2"/>
        <v>26099735</v>
      </c>
      <c r="J161" s="4" t="s">
        <v>13</v>
      </c>
      <c r="K161" s="4" t="s">
        <v>14</v>
      </c>
      <c r="L161" s="6" t="s">
        <v>472</v>
      </c>
      <c r="M161" s="6" t="s">
        <v>473</v>
      </c>
    </row>
    <row r="162" spans="1:13" ht="38.25" x14ac:dyDescent="0.25">
      <c r="A162" s="1">
        <v>161</v>
      </c>
      <c r="B162" s="1" t="s">
        <v>727</v>
      </c>
      <c r="C162" s="22" t="s">
        <v>474</v>
      </c>
      <c r="D162" s="22" t="s">
        <v>475</v>
      </c>
      <c r="E162" s="5">
        <v>0</v>
      </c>
      <c r="F162" s="5">
        <v>0</v>
      </c>
      <c r="G162" s="5">
        <v>447422</v>
      </c>
      <c r="H162" s="5">
        <v>1663275</v>
      </c>
      <c r="I162" s="17">
        <f t="shared" si="2"/>
        <v>2110697</v>
      </c>
      <c r="J162" s="4" t="s">
        <v>13</v>
      </c>
      <c r="K162" s="4" t="s">
        <v>14</v>
      </c>
      <c r="L162" s="6" t="s">
        <v>476</v>
      </c>
      <c r="M162" s="6" t="s">
        <v>477</v>
      </c>
    </row>
    <row r="163" spans="1:13" x14ac:dyDescent="0.25">
      <c r="A163" s="1">
        <v>162</v>
      </c>
      <c r="B163" s="1" t="s">
        <v>728</v>
      </c>
      <c r="C163" s="22" t="s">
        <v>478</v>
      </c>
      <c r="D163" s="22" t="s">
        <v>479</v>
      </c>
      <c r="E163" s="5">
        <v>0</v>
      </c>
      <c r="F163" s="5">
        <v>0</v>
      </c>
      <c r="G163" s="5">
        <v>61128</v>
      </c>
      <c r="H163" s="5">
        <v>284969</v>
      </c>
      <c r="I163" s="17">
        <f t="shared" si="2"/>
        <v>346097</v>
      </c>
      <c r="J163" s="4" t="s">
        <v>13</v>
      </c>
      <c r="K163" s="4" t="s">
        <v>45</v>
      </c>
      <c r="L163" s="6" t="s">
        <v>414</v>
      </c>
      <c r="M163" s="6" t="s">
        <v>480</v>
      </c>
    </row>
    <row r="164" spans="1:13" ht="25.5" x14ac:dyDescent="0.25">
      <c r="A164" s="1">
        <v>163</v>
      </c>
      <c r="B164" s="1" t="s">
        <v>729</v>
      </c>
      <c r="C164" s="22" t="s">
        <v>481</v>
      </c>
      <c r="D164" s="22" t="s">
        <v>482</v>
      </c>
      <c r="E164" s="5">
        <v>0</v>
      </c>
      <c r="F164" s="5">
        <v>0</v>
      </c>
      <c r="G164" s="5">
        <v>884750</v>
      </c>
      <c r="H164" s="5">
        <v>1460235</v>
      </c>
      <c r="I164" s="17">
        <f t="shared" si="2"/>
        <v>2344985</v>
      </c>
      <c r="J164" s="4" t="s">
        <v>13</v>
      </c>
      <c r="K164" s="4" t="s">
        <v>14</v>
      </c>
      <c r="L164" s="6" t="s">
        <v>483</v>
      </c>
      <c r="M164" s="6"/>
    </row>
    <row r="165" spans="1:13" ht="38.25" x14ac:dyDescent="0.25">
      <c r="A165" s="1">
        <v>164</v>
      </c>
      <c r="B165" s="1" t="s">
        <v>730</v>
      </c>
      <c r="C165" s="22" t="s">
        <v>484</v>
      </c>
      <c r="D165" s="22" t="s">
        <v>485</v>
      </c>
      <c r="E165" s="5">
        <v>0</v>
      </c>
      <c r="F165" s="5">
        <v>0</v>
      </c>
      <c r="G165" s="5">
        <v>0</v>
      </c>
      <c r="H165" s="5">
        <v>396309</v>
      </c>
      <c r="I165" s="17">
        <f t="shared" si="2"/>
        <v>396309</v>
      </c>
      <c r="J165" s="4" t="s">
        <v>13</v>
      </c>
      <c r="K165" s="4" t="s">
        <v>14</v>
      </c>
      <c r="L165" s="6" t="s">
        <v>476</v>
      </c>
      <c r="M165" s="6" t="s">
        <v>486</v>
      </c>
    </row>
    <row r="166" spans="1:13" ht="38.25" x14ac:dyDescent="0.25">
      <c r="A166" s="1">
        <v>165</v>
      </c>
      <c r="B166" s="1" t="s">
        <v>731</v>
      </c>
      <c r="C166" s="22" t="s">
        <v>487</v>
      </c>
      <c r="D166" s="22" t="s">
        <v>488</v>
      </c>
      <c r="E166" s="5">
        <v>0</v>
      </c>
      <c r="F166" s="5">
        <v>0</v>
      </c>
      <c r="G166" s="5">
        <v>0</v>
      </c>
      <c r="H166" s="5">
        <v>1622997</v>
      </c>
      <c r="I166" s="17">
        <f t="shared" si="2"/>
        <v>1622997</v>
      </c>
      <c r="J166" s="4" t="s">
        <v>13</v>
      </c>
      <c r="K166" s="4" t="s">
        <v>14</v>
      </c>
      <c r="L166" s="6" t="s">
        <v>476</v>
      </c>
      <c r="M166" s="6" t="s">
        <v>489</v>
      </c>
    </row>
    <row r="167" spans="1:13" ht="38.25" x14ac:dyDescent="0.25">
      <c r="A167" s="1">
        <v>166</v>
      </c>
      <c r="B167" s="1" t="s">
        <v>812</v>
      </c>
      <c r="C167" s="22" t="s">
        <v>490</v>
      </c>
      <c r="D167" s="22" t="s">
        <v>491</v>
      </c>
      <c r="E167" s="5">
        <v>0</v>
      </c>
      <c r="F167" s="5">
        <v>636952</v>
      </c>
      <c r="G167" s="5">
        <v>208008</v>
      </c>
      <c r="H167" s="5">
        <v>0</v>
      </c>
      <c r="I167" s="17">
        <f t="shared" si="2"/>
        <v>844960</v>
      </c>
      <c r="J167" s="4" t="s">
        <v>13</v>
      </c>
      <c r="K167" s="4" t="s">
        <v>14</v>
      </c>
      <c r="L167" s="6" t="s">
        <v>492</v>
      </c>
      <c r="M167" s="6" t="s">
        <v>493</v>
      </c>
    </row>
    <row r="168" spans="1:13" ht="38.25" x14ac:dyDescent="0.25">
      <c r="A168" s="1">
        <v>167</v>
      </c>
      <c r="B168" s="1" t="s">
        <v>732</v>
      </c>
      <c r="C168" s="22" t="s">
        <v>494</v>
      </c>
      <c r="D168" s="22" t="s">
        <v>495</v>
      </c>
      <c r="E168" s="5">
        <v>1703524</v>
      </c>
      <c r="F168" s="5">
        <v>249935</v>
      </c>
      <c r="G168" s="5">
        <v>0</v>
      </c>
      <c r="H168" s="5">
        <v>17280</v>
      </c>
      <c r="I168" s="17">
        <f t="shared" si="2"/>
        <v>1970739</v>
      </c>
      <c r="J168" s="4" t="s">
        <v>13</v>
      </c>
      <c r="K168" s="4" t="s">
        <v>14</v>
      </c>
      <c r="L168" s="6" t="s">
        <v>496</v>
      </c>
      <c r="M168" s="6" t="s">
        <v>497</v>
      </c>
    </row>
    <row r="169" spans="1:13" ht="38.25" x14ac:dyDescent="0.25">
      <c r="A169" s="1">
        <v>168</v>
      </c>
      <c r="B169" s="1" t="s">
        <v>825</v>
      </c>
      <c r="C169" s="22" t="s">
        <v>498</v>
      </c>
      <c r="D169" s="22" t="s">
        <v>499</v>
      </c>
      <c r="E169" s="5">
        <v>523337</v>
      </c>
      <c r="F169" s="5">
        <v>0</v>
      </c>
      <c r="G169" s="5">
        <v>0</v>
      </c>
      <c r="H169" s="5">
        <v>0</v>
      </c>
      <c r="I169" s="17">
        <f t="shared" si="2"/>
        <v>523337</v>
      </c>
      <c r="J169" s="4" t="s">
        <v>13</v>
      </c>
      <c r="K169" s="4" t="s">
        <v>14</v>
      </c>
      <c r="L169" s="6" t="s">
        <v>500</v>
      </c>
      <c r="M169" s="6" t="s">
        <v>501</v>
      </c>
    </row>
    <row r="170" spans="1:13" ht="25.5" x14ac:dyDescent="0.25">
      <c r="A170" s="1">
        <v>169</v>
      </c>
      <c r="B170" s="1" t="s">
        <v>807</v>
      </c>
      <c r="C170" s="22" t="s">
        <v>502</v>
      </c>
      <c r="D170" s="22" t="s">
        <v>503</v>
      </c>
      <c r="E170" s="5">
        <v>0</v>
      </c>
      <c r="F170" s="5">
        <v>558672</v>
      </c>
      <c r="G170" s="5">
        <v>0</v>
      </c>
      <c r="H170" s="5">
        <v>0</v>
      </c>
      <c r="I170" s="17">
        <f t="shared" si="2"/>
        <v>558672</v>
      </c>
      <c r="J170" s="4" t="s">
        <v>13</v>
      </c>
      <c r="K170" s="4" t="s">
        <v>14</v>
      </c>
      <c r="L170" s="6" t="s">
        <v>504</v>
      </c>
      <c r="M170" s="6" t="s">
        <v>505</v>
      </c>
    </row>
    <row r="171" spans="1:13" x14ac:dyDescent="0.25">
      <c r="A171" s="1">
        <v>170</v>
      </c>
      <c r="B171" s="1" t="s">
        <v>733</v>
      </c>
      <c r="C171" s="22" t="s">
        <v>506</v>
      </c>
      <c r="D171" s="22" t="s">
        <v>507</v>
      </c>
      <c r="E171" s="5">
        <v>0</v>
      </c>
      <c r="F171" s="5">
        <v>0</v>
      </c>
      <c r="G171" s="5">
        <v>0</v>
      </c>
      <c r="H171" s="5">
        <v>24192</v>
      </c>
      <c r="I171" s="17">
        <f t="shared" si="2"/>
        <v>24192</v>
      </c>
      <c r="J171" s="4" t="s">
        <v>13</v>
      </c>
      <c r="K171" s="4" t="s">
        <v>45</v>
      </c>
      <c r="L171" s="6" t="s">
        <v>297</v>
      </c>
      <c r="M171" s="6"/>
    </row>
    <row r="172" spans="1:13" ht="38.25" x14ac:dyDescent="0.25">
      <c r="A172" s="1">
        <v>171</v>
      </c>
      <c r="B172" s="1" t="s">
        <v>734</v>
      </c>
      <c r="C172" s="22" t="s">
        <v>508</v>
      </c>
      <c r="D172" s="22" t="s">
        <v>509</v>
      </c>
      <c r="E172" s="5">
        <v>0</v>
      </c>
      <c r="F172" s="5">
        <v>0</v>
      </c>
      <c r="G172" s="5">
        <v>0</v>
      </c>
      <c r="H172" s="5">
        <v>65880</v>
      </c>
      <c r="I172" s="17">
        <f t="shared" si="2"/>
        <v>65880</v>
      </c>
      <c r="J172" s="4" t="s">
        <v>13</v>
      </c>
      <c r="K172" s="4" t="s">
        <v>14</v>
      </c>
      <c r="L172" s="6" t="s">
        <v>510</v>
      </c>
      <c r="M172" s="6"/>
    </row>
    <row r="173" spans="1:13" x14ac:dyDescent="0.25">
      <c r="A173" s="1">
        <v>172</v>
      </c>
      <c r="B173" s="1" t="s">
        <v>808</v>
      </c>
      <c r="C173" s="22" t="s">
        <v>511</v>
      </c>
      <c r="D173" s="22" t="s">
        <v>512</v>
      </c>
      <c r="E173" s="5">
        <v>0</v>
      </c>
      <c r="F173" s="5">
        <v>0</v>
      </c>
      <c r="G173" s="5">
        <v>0</v>
      </c>
      <c r="H173" s="5">
        <v>0</v>
      </c>
      <c r="I173" s="17">
        <f t="shared" si="2"/>
        <v>0</v>
      </c>
      <c r="J173" s="4" t="s">
        <v>19</v>
      </c>
      <c r="K173" s="4" t="s">
        <v>14</v>
      </c>
      <c r="L173" s="6">
        <v>5304</v>
      </c>
      <c r="M173" s="6"/>
    </row>
    <row r="174" spans="1:13" x14ac:dyDescent="0.25">
      <c r="A174" s="1">
        <v>173</v>
      </c>
      <c r="B174" s="1" t="s">
        <v>809</v>
      </c>
      <c r="C174" s="22" t="s">
        <v>513</v>
      </c>
      <c r="D174" s="22" t="s">
        <v>514</v>
      </c>
      <c r="E174" s="5">
        <v>0</v>
      </c>
      <c r="F174" s="5">
        <v>0</v>
      </c>
      <c r="G174" s="5">
        <v>0</v>
      </c>
      <c r="H174" s="5">
        <v>0</v>
      </c>
      <c r="I174" s="17">
        <f t="shared" si="2"/>
        <v>0</v>
      </c>
      <c r="J174" s="4" t="s">
        <v>13</v>
      </c>
      <c r="K174" s="4" t="s">
        <v>14</v>
      </c>
      <c r="L174" s="6">
        <v>5304</v>
      </c>
      <c r="M174" s="6"/>
    </row>
    <row r="175" spans="1:13" ht="38.25" x14ac:dyDescent="0.25">
      <c r="A175" s="1">
        <v>174</v>
      </c>
      <c r="B175" s="1" t="s">
        <v>735</v>
      </c>
      <c r="C175" s="22" t="s">
        <v>515</v>
      </c>
      <c r="D175" s="22" t="s">
        <v>516</v>
      </c>
      <c r="E175" s="5">
        <v>0</v>
      </c>
      <c r="F175" s="5">
        <v>0</v>
      </c>
      <c r="G175" s="5">
        <v>156654</v>
      </c>
      <c r="H175" s="5">
        <v>486610</v>
      </c>
      <c r="I175" s="17">
        <f t="shared" si="2"/>
        <v>643264</v>
      </c>
      <c r="J175" s="4" t="s">
        <v>13</v>
      </c>
      <c r="K175" s="4" t="s">
        <v>14</v>
      </c>
      <c r="L175" s="6" t="s">
        <v>476</v>
      </c>
      <c r="M175" s="6" t="s">
        <v>517</v>
      </c>
    </row>
    <row r="176" spans="1:13" ht="38.25" x14ac:dyDescent="0.25">
      <c r="A176" s="1">
        <v>175</v>
      </c>
      <c r="B176" s="1" t="s">
        <v>736</v>
      </c>
      <c r="C176" s="22" t="s">
        <v>518</v>
      </c>
      <c r="D176" s="22" t="s">
        <v>519</v>
      </c>
      <c r="E176" s="5">
        <v>0</v>
      </c>
      <c r="F176" s="5">
        <v>0</v>
      </c>
      <c r="G176" s="5">
        <v>357264</v>
      </c>
      <c r="H176" s="5">
        <v>468936</v>
      </c>
      <c r="I176" s="17">
        <f t="shared" si="2"/>
        <v>826200</v>
      </c>
      <c r="J176" s="4" t="s">
        <v>13</v>
      </c>
      <c r="K176" s="4" t="s">
        <v>14</v>
      </c>
      <c r="L176" s="6" t="s">
        <v>476</v>
      </c>
      <c r="M176" s="6" t="s">
        <v>520</v>
      </c>
    </row>
    <row r="177" spans="1:13" ht="38.25" x14ac:dyDescent="0.25">
      <c r="A177" s="1">
        <v>176</v>
      </c>
      <c r="B177" s="1" t="s">
        <v>737</v>
      </c>
      <c r="C177" s="22" t="s">
        <v>521</v>
      </c>
      <c r="D177" s="22" t="s">
        <v>522</v>
      </c>
      <c r="E177" s="5">
        <v>0</v>
      </c>
      <c r="F177" s="5">
        <v>0</v>
      </c>
      <c r="G177" s="5">
        <v>0</v>
      </c>
      <c r="H177" s="5">
        <v>635865</v>
      </c>
      <c r="I177" s="17">
        <f t="shared" si="2"/>
        <v>635865</v>
      </c>
      <c r="J177" s="4" t="s">
        <v>13</v>
      </c>
      <c r="K177" s="4" t="s">
        <v>14</v>
      </c>
      <c r="L177" s="6" t="s">
        <v>23</v>
      </c>
      <c r="M177" s="6" t="s">
        <v>523</v>
      </c>
    </row>
    <row r="178" spans="1:13" x14ac:dyDescent="0.25">
      <c r="A178" s="1">
        <v>177</v>
      </c>
      <c r="B178" s="1" t="s">
        <v>825</v>
      </c>
      <c r="C178" s="22" t="s">
        <v>524</v>
      </c>
      <c r="D178" s="22" t="s">
        <v>525</v>
      </c>
      <c r="E178" s="5">
        <v>0</v>
      </c>
      <c r="F178" s="5">
        <v>0</v>
      </c>
      <c r="G178" s="5">
        <v>0</v>
      </c>
      <c r="H178" s="5">
        <v>0</v>
      </c>
      <c r="I178" s="17">
        <f t="shared" si="2"/>
        <v>0</v>
      </c>
      <c r="J178" s="4" t="s">
        <v>13</v>
      </c>
      <c r="K178" s="4" t="s">
        <v>14</v>
      </c>
      <c r="L178" s="6">
        <v>5304</v>
      </c>
      <c r="M178" s="6"/>
    </row>
    <row r="179" spans="1:13" ht="25.5" x14ac:dyDescent="0.25">
      <c r="A179" s="1">
        <v>178</v>
      </c>
      <c r="B179" s="1" t="s">
        <v>738</v>
      </c>
      <c r="C179" s="22" t="s">
        <v>526</v>
      </c>
      <c r="D179" s="22" t="s">
        <v>527</v>
      </c>
      <c r="E179" s="5">
        <v>0</v>
      </c>
      <c r="F179" s="5">
        <v>0</v>
      </c>
      <c r="G179" s="5">
        <v>0</v>
      </c>
      <c r="H179" s="5">
        <v>27010</v>
      </c>
      <c r="I179" s="17">
        <f t="shared" si="2"/>
        <v>27010</v>
      </c>
      <c r="J179" s="4" t="s">
        <v>13</v>
      </c>
      <c r="K179" s="4" t="s">
        <v>14</v>
      </c>
      <c r="L179" s="6" t="s">
        <v>528</v>
      </c>
      <c r="M179" s="6"/>
    </row>
    <row r="180" spans="1:13" ht="38.25" x14ac:dyDescent="0.25">
      <c r="A180" s="1">
        <v>179</v>
      </c>
      <c r="B180" s="1" t="s">
        <v>739</v>
      </c>
      <c r="C180" s="22" t="s">
        <v>529</v>
      </c>
      <c r="D180" s="22" t="s">
        <v>530</v>
      </c>
      <c r="E180" s="5">
        <v>0</v>
      </c>
      <c r="F180" s="5">
        <v>0</v>
      </c>
      <c r="G180" s="5">
        <v>0</v>
      </c>
      <c r="H180" s="5">
        <v>3863913</v>
      </c>
      <c r="I180" s="17">
        <f t="shared" si="2"/>
        <v>3863913</v>
      </c>
      <c r="J180" s="4" t="s">
        <v>13</v>
      </c>
      <c r="K180" s="4" t="s">
        <v>14</v>
      </c>
      <c r="L180" s="6" t="s">
        <v>23</v>
      </c>
      <c r="M180" s="6"/>
    </row>
    <row r="181" spans="1:13" x14ac:dyDescent="0.25">
      <c r="A181" s="1">
        <v>180</v>
      </c>
      <c r="B181" s="1" t="s">
        <v>810</v>
      </c>
      <c r="C181" s="22" t="s">
        <v>531</v>
      </c>
      <c r="D181" s="22" t="s">
        <v>532</v>
      </c>
      <c r="E181" s="5">
        <v>0</v>
      </c>
      <c r="F181" s="5">
        <v>0</v>
      </c>
      <c r="G181" s="5">
        <v>0</v>
      </c>
      <c r="H181" s="5">
        <v>0</v>
      </c>
      <c r="I181" s="17">
        <f t="shared" si="2"/>
        <v>0</v>
      </c>
      <c r="J181" s="4" t="s">
        <v>13</v>
      </c>
      <c r="K181" s="4" t="s">
        <v>14</v>
      </c>
      <c r="L181" s="6">
        <v>5304</v>
      </c>
      <c r="M181" s="6"/>
    </row>
    <row r="182" spans="1:13" x14ac:dyDescent="0.25">
      <c r="A182" s="1">
        <v>181</v>
      </c>
      <c r="B182" s="1" t="s">
        <v>762</v>
      </c>
      <c r="C182" s="22" t="s">
        <v>533</v>
      </c>
      <c r="D182" s="22" t="s">
        <v>534</v>
      </c>
      <c r="E182" s="5">
        <v>0</v>
      </c>
      <c r="F182" s="5">
        <v>0</v>
      </c>
      <c r="G182" s="5">
        <v>0</v>
      </c>
      <c r="H182" s="5">
        <v>0</v>
      </c>
      <c r="I182" s="17">
        <f t="shared" si="2"/>
        <v>0</v>
      </c>
      <c r="J182" s="4" t="s">
        <v>13</v>
      </c>
      <c r="K182" s="4" t="s">
        <v>14</v>
      </c>
      <c r="L182" s="6">
        <v>5304</v>
      </c>
      <c r="M182" s="6"/>
    </row>
    <row r="183" spans="1:13" ht="25.5" x14ac:dyDescent="0.25">
      <c r="A183" s="1">
        <v>182</v>
      </c>
      <c r="B183" s="1" t="s">
        <v>740</v>
      </c>
      <c r="C183" s="22" t="s">
        <v>535</v>
      </c>
      <c r="D183" s="22" t="s">
        <v>536</v>
      </c>
      <c r="E183" s="5">
        <v>0</v>
      </c>
      <c r="F183" s="5">
        <v>228528</v>
      </c>
      <c r="G183" s="5">
        <v>0</v>
      </c>
      <c r="H183" s="5">
        <v>314469</v>
      </c>
      <c r="I183" s="17">
        <f t="shared" si="2"/>
        <v>542997</v>
      </c>
      <c r="J183" s="4" t="s">
        <v>13</v>
      </c>
      <c r="K183" s="4" t="s">
        <v>45</v>
      </c>
      <c r="L183" s="6" t="s">
        <v>537</v>
      </c>
      <c r="M183" s="6" t="s">
        <v>538</v>
      </c>
    </row>
    <row r="184" spans="1:13" ht="25.5" x14ac:dyDescent="0.25">
      <c r="A184" s="1">
        <v>183</v>
      </c>
      <c r="B184" s="1" t="s">
        <v>741</v>
      </c>
      <c r="C184" s="22" t="s">
        <v>539</v>
      </c>
      <c r="D184" s="22" t="s">
        <v>540</v>
      </c>
      <c r="E184" s="5">
        <v>0</v>
      </c>
      <c r="F184" s="5">
        <v>0</v>
      </c>
      <c r="G184" s="5">
        <v>0</v>
      </c>
      <c r="H184" s="5">
        <v>10800</v>
      </c>
      <c r="I184" s="17">
        <f t="shared" si="2"/>
        <v>10800</v>
      </c>
      <c r="J184" s="4" t="s">
        <v>13</v>
      </c>
      <c r="K184" s="4" t="s">
        <v>14</v>
      </c>
      <c r="L184" s="6" t="s">
        <v>541</v>
      </c>
      <c r="M184" s="6"/>
    </row>
    <row r="185" spans="1:13" ht="38.25" x14ac:dyDescent="0.25">
      <c r="A185" s="1">
        <v>184</v>
      </c>
      <c r="B185" s="1" t="s">
        <v>825</v>
      </c>
      <c r="C185" s="22" t="s">
        <v>542</v>
      </c>
      <c r="D185" s="22" t="s">
        <v>543</v>
      </c>
      <c r="E185" s="5">
        <v>0</v>
      </c>
      <c r="F185" s="5">
        <v>0</v>
      </c>
      <c r="G185" s="5"/>
      <c r="H185" s="5">
        <f>194400</f>
        <v>194400</v>
      </c>
      <c r="I185" s="17">
        <f t="shared" si="2"/>
        <v>194400</v>
      </c>
      <c r="J185" s="4" t="s">
        <v>13</v>
      </c>
      <c r="K185" s="4" t="s">
        <v>14</v>
      </c>
      <c r="L185" s="6" t="s">
        <v>544</v>
      </c>
      <c r="M185" s="6"/>
    </row>
    <row r="186" spans="1:13" ht="38.25" x14ac:dyDescent="0.25">
      <c r="A186" s="1">
        <v>185</v>
      </c>
      <c r="B186" s="1" t="s">
        <v>742</v>
      </c>
      <c r="C186" s="22" t="s">
        <v>545</v>
      </c>
      <c r="D186" s="22" t="s">
        <v>546</v>
      </c>
      <c r="E186" s="5">
        <v>0</v>
      </c>
      <c r="F186" s="5">
        <v>0</v>
      </c>
      <c r="G186" s="5">
        <v>0</v>
      </c>
      <c r="H186" s="5">
        <v>1500128</v>
      </c>
      <c r="I186" s="17">
        <f t="shared" si="2"/>
        <v>1500128</v>
      </c>
      <c r="J186" s="4" t="s">
        <v>13</v>
      </c>
      <c r="K186" s="4" t="s">
        <v>14</v>
      </c>
      <c r="L186" s="6" t="s">
        <v>23</v>
      </c>
      <c r="M186" s="6" t="s">
        <v>547</v>
      </c>
    </row>
    <row r="187" spans="1:13" ht="38.25" x14ac:dyDescent="0.25">
      <c r="A187" s="1">
        <v>186</v>
      </c>
      <c r="B187" s="1" t="s">
        <v>743</v>
      </c>
      <c r="C187" s="22" t="s">
        <v>548</v>
      </c>
      <c r="D187" s="22" t="s">
        <v>549</v>
      </c>
      <c r="E187" s="5">
        <v>0</v>
      </c>
      <c r="F187" s="5">
        <v>0</v>
      </c>
      <c r="G187" s="5">
        <v>0</v>
      </c>
      <c r="H187" s="5">
        <v>51342</v>
      </c>
      <c r="I187" s="17">
        <f t="shared" si="2"/>
        <v>51342</v>
      </c>
      <c r="J187" s="4" t="s">
        <v>13</v>
      </c>
      <c r="K187" s="4" t="s">
        <v>14</v>
      </c>
      <c r="L187" s="6" t="s">
        <v>550</v>
      </c>
      <c r="M187" s="6"/>
    </row>
    <row r="188" spans="1:13" ht="38.25" x14ac:dyDescent="0.25">
      <c r="A188" s="1">
        <v>187</v>
      </c>
      <c r="B188" s="1" t="s">
        <v>744</v>
      </c>
      <c r="C188" s="22" t="s">
        <v>551</v>
      </c>
      <c r="D188" s="22" t="s">
        <v>552</v>
      </c>
      <c r="E188" s="5">
        <v>0</v>
      </c>
      <c r="F188" s="5">
        <v>0</v>
      </c>
      <c r="G188" s="5">
        <v>0</v>
      </c>
      <c r="H188" s="5">
        <v>663579</v>
      </c>
      <c r="I188" s="17">
        <f t="shared" si="2"/>
        <v>663579</v>
      </c>
      <c r="J188" s="4" t="s">
        <v>13</v>
      </c>
      <c r="K188" s="4" t="s">
        <v>14</v>
      </c>
      <c r="L188" s="6" t="s">
        <v>23</v>
      </c>
      <c r="M188" s="6" t="s">
        <v>553</v>
      </c>
    </row>
    <row r="189" spans="1:13" x14ac:dyDescent="0.25">
      <c r="A189" s="1">
        <v>188</v>
      </c>
      <c r="B189" s="1" t="s">
        <v>817</v>
      </c>
      <c r="C189" s="22" t="s">
        <v>554</v>
      </c>
      <c r="D189" s="22" t="s">
        <v>555</v>
      </c>
      <c r="E189" s="5">
        <v>0</v>
      </c>
      <c r="F189" s="5">
        <v>0</v>
      </c>
      <c r="G189" s="5">
        <v>0</v>
      </c>
      <c r="H189" s="5">
        <v>0</v>
      </c>
      <c r="I189" s="17">
        <f t="shared" si="2"/>
        <v>0</v>
      </c>
      <c r="J189" s="4" t="s">
        <v>13</v>
      </c>
      <c r="K189" s="4" t="s">
        <v>14</v>
      </c>
      <c r="L189" s="6">
        <v>5304</v>
      </c>
      <c r="M189" s="6"/>
    </row>
    <row r="190" spans="1:13" ht="38.25" x14ac:dyDescent="0.25">
      <c r="A190" s="1">
        <v>189</v>
      </c>
      <c r="B190" s="1" t="s">
        <v>745</v>
      </c>
      <c r="C190" s="22" t="s">
        <v>556</v>
      </c>
      <c r="D190" s="22" t="s">
        <v>557</v>
      </c>
      <c r="E190" s="5">
        <v>22680</v>
      </c>
      <c r="F190" s="5">
        <v>35640</v>
      </c>
      <c r="G190" s="5">
        <v>0</v>
      </c>
      <c r="H190" s="5">
        <v>59292</v>
      </c>
      <c r="I190" s="17">
        <f t="shared" si="2"/>
        <v>117612</v>
      </c>
      <c r="J190" s="4" t="s">
        <v>13</v>
      </c>
      <c r="K190" s="4" t="s">
        <v>14</v>
      </c>
      <c r="L190" s="6" t="s">
        <v>558</v>
      </c>
      <c r="M190" s="6" t="s">
        <v>559</v>
      </c>
    </row>
    <row r="191" spans="1:13" ht="38.25" x14ac:dyDescent="0.25">
      <c r="A191" s="1">
        <v>190</v>
      </c>
      <c r="B191" s="1" t="s">
        <v>746</v>
      </c>
      <c r="C191" s="22" t="s">
        <v>560</v>
      </c>
      <c r="D191" s="22" t="s">
        <v>561</v>
      </c>
      <c r="E191" s="5">
        <v>0</v>
      </c>
      <c r="F191" s="5">
        <v>0</v>
      </c>
      <c r="G191" s="5">
        <v>0</v>
      </c>
      <c r="H191" s="5">
        <v>494993</v>
      </c>
      <c r="I191" s="17">
        <f t="shared" si="2"/>
        <v>494993</v>
      </c>
      <c r="J191" s="4" t="s">
        <v>13</v>
      </c>
      <c r="K191" s="4" t="s">
        <v>14</v>
      </c>
      <c r="L191" s="6" t="s">
        <v>558</v>
      </c>
      <c r="M191" s="6" t="s">
        <v>562</v>
      </c>
    </row>
    <row r="192" spans="1:13" ht="38.25" x14ac:dyDescent="0.25">
      <c r="A192" s="1">
        <v>191</v>
      </c>
      <c r="B192" s="1" t="s">
        <v>684</v>
      </c>
      <c r="C192" s="22" t="s">
        <v>563</v>
      </c>
      <c r="D192" s="22" t="s">
        <v>564</v>
      </c>
      <c r="E192" s="5">
        <v>0</v>
      </c>
      <c r="F192" s="5">
        <v>0</v>
      </c>
      <c r="G192" s="5">
        <v>0</v>
      </c>
      <c r="H192" s="5">
        <v>1025046</v>
      </c>
      <c r="I192" s="17">
        <f t="shared" si="2"/>
        <v>1025046</v>
      </c>
      <c r="J192" s="4" t="s">
        <v>13</v>
      </c>
      <c r="K192" s="4" t="s">
        <v>14</v>
      </c>
      <c r="L192" s="6" t="s">
        <v>558</v>
      </c>
      <c r="M192" s="6" t="s">
        <v>565</v>
      </c>
    </row>
    <row r="193" spans="1:13" ht="38.25" x14ac:dyDescent="0.25">
      <c r="A193" s="1">
        <v>192</v>
      </c>
      <c r="B193" s="1" t="s">
        <v>747</v>
      </c>
      <c r="C193" s="22" t="s">
        <v>566</v>
      </c>
      <c r="D193" s="22" t="s">
        <v>567</v>
      </c>
      <c r="E193" s="5">
        <v>517681</v>
      </c>
      <c r="F193" s="5">
        <v>651528</v>
      </c>
      <c r="G193" s="5">
        <v>1103602</v>
      </c>
      <c r="H193" s="5">
        <v>1016669</v>
      </c>
      <c r="I193" s="17">
        <f t="shared" si="2"/>
        <v>3289480</v>
      </c>
      <c r="J193" s="4" t="s">
        <v>13</v>
      </c>
      <c r="K193" s="4" t="s">
        <v>14</v>
      </c>
      <c r="L193" s="6" t="s">
        <v>568</v>
      </c>
      <c r="M193" s="6" t="s">
        <v>569</v>
      </c>
    </row>
    <row r="194" spans="1:13" ht="25.5" x14ac:dyDescent="0.25">
      <c r="A194" s="1">
        <v>193</v>
      </c>
      <c r="B194" s="1" t="s">
        <v>748</v>
      </c>
      <c r="C194" s="22" t="s">
        <v>570</v>
      </c>
      <c r="D194" s="22" t="s">
        <v>571</v>
      </c>
      <c r="E194" s="5">
        <v>0</v>
      </c>
      <c r="F194" s="5">
        <v>0</v>
      </c>
      <c r="G194" s="5">
        <v>0</v>
      </c>
      <c r="H194" s="5">
        <v>206414</v>
      </c>
      <c r="I194" s="17">
        <f t="shared" si="2"/>
        <v>206414</v>
      </c>
      <c r="J194" s="4" t="s">
        <v>13</v>
      </c>
      <c r="K194" s="4" t="s">
        <v>14</v>
      </c>
      <c r="L194" s="6" t="s">
        <v>572</v>
      </c>
      <c r="M194" s="6"/>
    </row>
    <row r="195" spans="1:13" ht="25.5" x14ac:dyDescent="0.25">
      <c r="A195" s="1">
        <v>194</v>
      </c>
      <c r="B195" s="1" t="s">
        <v>749</v>
      </c>
      <c r="C195" s="22" t="s">
        <v>573</v>
      </c>
      <c r="D195" s="22" t="s">
        <v>574</v>
      </c>
      <c r="E195" s="5">
        <v>0</v>
      </c>
      <c r="F195" s="5">
        <v>0</v>
      </c>
      <c r="G195" s="5">
        <v>0</v>
      </c>
      <c r="H195" s="5">
        <v>3412545</v>
      </c>
      <c r="I195" s="17">
        <f t="shared" ref="I195:I205" si="3">E195+F195+G195+H195</f>
        <v>3412545</v>
      </c>
      <c r="J195" s="4" t="s">
        <v>13</v>
      </c>
      <c r="K195" s="4" t="s">
        <v>45</v>
      </c>
      <c r="L195" s="6" t="s">
        <v>575</v>
      </c>
      <c r="M195" s="6" t="s">
        <v>576</v>
      </c>
    </row>
    <row r="196" spans="1:13" ht="38.25" x14ac:dyDescent="0.25">
      <c r="A196" s="1">
        <v>195</v>
      </c>
      <c r="B196" s="1" t="s">
        <v>750</v>
      </c>
      <c r="C196" s="22" t="s">
        <v>577</v>
      </c>
      <c r="D196" s="22" t="s">
        <v>578</v>
      </c>
      <c r="E196" s="5">
        <v>0</v>
      </c>
      <c r="F196" s="5">
        <v>571110</v>
      </c>
      <c r="G196" s="5">
        <v>327606</v>
      </c>
      <c r="H196" s="5">
        <v>449169</v>
      </c>
      <c r="I196" s="17">
        <f t="shared" si="3"/>
        <v>1347885</v>
      </c>
      <c r="J196" s="4" t="s">
        <v>13</v>
      </c>
      <c r="K196" s="4" t="s">
        <v>14</v>
      </c>
      <c r="L196" s="6" t="s">
        <v>579</v>
      </c>
      <c r="M196" s="6" t="s">
        <v>580</v>
      </c>
    </row>
    <row r="197" spans="1:13" ht="38.25" x14ac:dyDescent="0.25">
      <c r="A197" s="1">
        <v>196</v>
      </c>
      <c r="B197" s="1" t="s">
        <v>811</v>
      </c>
      <c r="C197" s="22" t="s">
        <v>581</v>
      </c>
      <c r="D197" s="22" t="s">
        <v>582</v>
      </c>
      <c r="E197" s="5">
        <v>982316</v>
      </c>
      <c r="F197" s="5">
        <v>0</v>
      </c>
      <c r="G197" s="5">
        <v>0</v>
      </c>
      <c r="H197" s="5">
        <v>0</v>
      </c>
      <c r="I197" s="17">
        <f t="shared" si="3"/>
        <v>982316</v>
      </c>
      <c r="J197" s="4" t="s">
        <v>13</v>
      </c>
      <c r="K197" s="4" t="s">
        <v>14</v>
      </c>
      <c r="L197" s="6" t="s">
        <v>583</v>
      </c>
      <c r="M197" s="6"/>
    </row>
    <row r="198" spans="1:13" x14ac:dyDescent="0.25">
      <c r="A198" s="1">
        <v>197</v>
      </c>
      <c r="B198" s="1" t="s">
        <v>825</v>
      </c>
      <c r="C198" s="22" t="s">
        <v>584</v>
      </c>
      <c r="D198" s="22" t="s">
        <v>585</v>
      </c>
      <c r="E198" s="5">
        <f>4382500-559156</f>
        <v>3823344</v>
      </c>
      <c r="F198" s="5">
        <f>754234-400302</f>
        <v>353932</v>
      </c>
      <c r="G198" s="5">
        <f>588242-508022</f>
        <v>80220</v>
      </c>
      <c r="H198" s="5">
        <f>1418376-704088</f>
        <v>714288</v>
      </c>
      <c r="I198" s="17">
        <f t="shared" si="3"/>
        <v>4971784</v>
      </c>
      <c r="J198" s="4" t="s">
        <v>19</v>
      </c>
      <c r="K198" s="4" t="s">
        <v>14</v>
      </c>
      <c r="L198" s="6" t="s">
        <v>586</v>
      </c>
      <c r="M198" s="6"/>
    </row>
    <row r="199" spans="1:13" ht="25.5" x14ac:dyDescent="0.25">
      <c r="A199" s="1">
        <v>198</v>
      </c>
      <c r="B199" s="1" t="s">
        <v>751</v>
      </c>
      <c r="C199" s="22" t="s">
        <v>587</v>
      </c>
      <c r="D199" s="22" t="s">
        <v>588</v>
      </c>
      <c r="E199" s="5">
        <v>0</v>
      </c>
      <c r="F199" s="5">
        <v>0</v>
      </c>
      <c r="G199" s="5">
        <v>0</v>
      </c>
      <c r="H199" s="5">
        <v>106945</v>
      </c>
      <c r="I199" s="17">
        <f t="shared" si="3"/>
        <v>106945</v>
      </c>
      <c r="J199" s="4" t="s">
        <v>13</v>
      </c>
      <c r="K199" s="4" t="s">
        <v>14</v>
      </c>
      <c r="L199" s="6" t="s">
        <v>589</v>
      </c>
      <c r="M199" s="6" t="s">
        <v>590</v>
      </c>
    </row>
    <row r="200" spans="1:13" x14ac:dyDescent="0.25">
      <c r="A200" s="1">
        <v>199</v>
      </c>
      <c r="B200" s="1" t="s">
        <v>760</v>
      </c>
      <c r="C200" s="22" t="s">
        <v>591</v>
      </c>
      <c r="D200" s="22" t="s">
        <v>592</v>
      </c>
      <c r="E200" s="5">
        <v>0</v>
      </c>
      <c r="F200" s="5"/>
      <c r="G200" s="5"/>
      <c r="H200" s="5"/>
      <c r="I200" s="17">
        <f t="shared" si="3"/>
        <v>0</v>
      </c>
      <c r="J200" s="4" t="s">
        <v>19</v>
      </c>
      <c r="K200" s="4" t="s">
        <v>14</v>
      </c>
      <c r="L200" s="6">
        <v>5304</v>
      </c>
      <c r="M200" s="6"/>
    </row>
    <row r="201" spans="1:13" ht="38.25" x14ac:dyDescent="0.25">
      <c r="A201" s="1">
        <v>200</v>
      </c>
      <c r="B201" s="1" t="s">
        <v>752</v>
      </c>
      <c r="C201" s="22" t="s">
        <v>593</v>
      </c>
      <c r="D201" s="22" t="s">
        <v>594</v>
      </c>
      <c r="E201" s="5">
        <v>0</v>
      </c>
      <c r="F201" s="5">
        <v>0</v>
      </c>
      <c r="G201" s="5">
        <v>0</v>
      </c>
      <c r="H201" s="5">
        <v>858249</v>
      </c>
      <c r="I201" s="17">
        <f t="shared" si="3"/>
        <v>858249</v>
      </c>
      <c r="J201" s="4" t="s">
        <v>13</v>
      </c>
      <c r="K201" s="4" t="s">
        <v>45</v>
      </c>
      <c r="L201" s="6" t="s">
        <v>595</v>
      </c>
      <c r="M201" s="6" t="s">
        <v>596</v>
      </c>
    </row>
    <row r="202" spans="1:13" ht="25.5" x14ac:dyDescent="0.25">
      <c r="A202" s="1">
        <v>201</v>
      </c>
      <c r="B202" s="1" t="s">
        <v>753</v>
      </c>
      <c r="C202" s="22" t="s">
        <v>597</v>
      </c>
      <c r="D202" s="22" t="s">
        <v>598</v>
      </c>
      <c r="E202" s="5">
        <v>0</v>
      </c>
      <c r="F202" s="5">
        <v>0</v>
      </c>
      <c r="G202" s="5">
        <v>172800</v>
      </c>
      <c r="H202" s="5">
        <v>461808</v>
      </c>
      <c r="I202" s="17">
        <f t="shared" si="3"/>
        <v>634608</v>
      </c>
      <c r="J202" s="4" t="s">
        <v>13</v>
      </c>
      <c r="K202" s="4" t="s">
        <v>14</v>
      </c>
      <c r="L202" s="6" t="s">
        <v>589</v>
      </c>
      <c r="M202" s="6" t="s">
        <v>599</v>
      </c>
    </row>
    <row r="203" spans="1:13" x14ac:dyDescent="0.25">
      <c r="A203" s="1">
        <v>202</v>
      </c>
      <c r="B203" s="1" t="s">
        <v>759</v>
      </c>
      <c r="C203" s="22" t="s">
        <v>600</v>
      </c>
      <c r="D203" s="22" t="s">
        <v>601</v>
      </c>
      <c r="E203" s="5">
        <v>0</v>
      </c>
      <c r="F203" s="5">
        <v>0</v>
      </c>
      <c r="G203" s="5">
        <v>0</v>
      </c>
      <c r="H203" s="5">
        <v>0</v>
      </c>
      <c r="I203" s="17">
        <f t="shared" si="3"/>
        <v>0</v>
      </c>
      <c r="J203" s="4" t="s">
        <v>19</v>
      </c>
      <c r="K203" s="4" t="s">
        <v>14</v>
      </c>
      <c r="L203" s="6">
        <v>5304</v>
      </c>
      <c r="M203" s="6"/>
    </row>
    <row r="204" spans="1:13" x14ac:dyDescent="0.25">
      <c r="A204" s="1">
        <v>203</v>
      </c>
      <c r="B204" s="1" t="s">
        <v>758</v>
      </c>
      <c r="C204" s="22" t="s">
        <v>602</v>
      </c>
      <c r="D204" s="22" t="s">
        <v>603</v>
      </c>
      <c r="E204" s="5">
        <v>0</v>
      </c>
      <c r="F204" s="5">
        <v>0</v>
      </c>
      <c r="G204" s="5">
        <v>0</v>
      </c>
      <c r="H204" s="5">
        <v>0</v>
      </c>
      <c r="I204" s="17">
        <f t="shared" si="3"/>
        <v>0</v>
      </c>
      <c r="J204" s="4" t="s">
        <v>19</v>
      </c>
      <c r="K204" s="4" t="s">
        <v>14</v>
      </c>
      <c r="L204" s="6">
        <v>5304</v>
      </c>
      <c r="M204" s="6"/>
    </row>
    <row r="205" spans="1:13" x14ac:dyDescent="0.25">
      <c r="A205" s="1">
        <v>204</v>
      </c>
      <c r="B205" s="1" t="s">
        <v>757</v>
      </c>
      <c r="C205" s="22" t="s">
        <v>604</v>
      </c>
      <c r="D205" s="22" t="s">
        <v>605</v>
      </c>
      <c r="E205" s="5">
        <v>0</v>
      </c>
      <c r="F205" s="5">
        <v>0</v>
      </c>
      <c r="G205" s="5">
        <v>0</v>
      </c>
      <c r="H205" s="5">
        <v>0</v>
      </c>
      <c r="I205" s="17">
        <f t="shared" si="3"/>
        <v>0</v>
      </c>
      <c r="J205" s="4" t="s">
        <v>19</v>
      </c>
      <c r="K205" s="4" t="s">
        <v>14</v>
      </c>
      <c r="L205" s="6">
        <v>5304</v>
      </c>
      <c r="M205" s="6"/>
    </row>
    <row r="206" spans="1:13" s="10" customFormat="1" ht="19.5" x14ac:dyDescent="0.25">
      <c r="A206" s="20"/>
      <c r="B206" s="20"/>
      <c r="C206" s="23"/>
      <c r="D206" s="20" t="s">
        <v>6</v>
      </c>
      <c r="E206" s="8">
        <f>SUBTOTAL(9,E2:E205)</f>
        <v>38585749</v>
      </c>
      <c r="F206" s="8">
        <f t="shared" ref="F206:I206" si="4">SUBTOTAL(9,F2:F205)</f>
        <v>66991441</v>
      </c>
      <c r="G206" s="8">
        <f t="shared" si="4"/>
        <v>28840600</v>
      </c>
      <c r="H206" s="8">
        <f t="shared" si="4"/>
        <v>241823101</v>
      </c>
      <c r="I206" s="8">
        <f t="shared" si="4"/>
        <v>376240891</v>
      </c>
      <c r="J206" s="7"/>
      <c r="K206" s="7"/>
      <c r="L206" s="9"/>
      <c r="M206" s="9"/>
    </row>
    <row r="207" spans="1:13" x14ac:dyDescent="0.25">
      <c r="B207" s="21">
        <f>193+12</f>
        <v>205</v>
      </c>
    </row>
  </sheetData>
  <autoFilter ref="A1:M205" xr:uid="{3788A58C-739E-41AB-9B74-C199CA6CC8D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CD19-1462-4426-A87B-45B33B807AEB}">
  <dimension ref="A1:H12"/>
  <sheetViews>
    <sheetView workbookViewId="0">
      <selection activeCell="E13" sqref="E13"/>
    </sheetView>
  </sheetViews>
  <sheetFormatPr defaultRowHeight="15" x14ac:dyDescent="0.25"/>
  <cols>
    <col min="1" max="1" width="39.85546875" customWidth="1"/>
    <col min="2" max="2" width="12.7109375" bestFit="1" customWidth="1"/>
    <col min="3" max="3" width="37.7109375" customWidth="1"/>
    <col min="4" max="4" width="11.140625" bestFit="1" customWidth="1"/>
    <col min="5" max="5" width="39.140625" customWidth="1"/>
    <col min="6" max="6" width="11.140625" bestFit="1" customWidth="1"/>
    <col min="7" max="7" width="39.140625" customWidth="1"/>
    <col min="8" max="8" width="11.140625" bestFit="1" customWidth="1"/>
  </cols>
  <sheetData>
    <row r="1" spans="1:8" ht="32.25" x14ac:dyDescent="0.5">
      <c r="A1" s="11" t="s">
        <v>606</v>
      </c>
      <c r="B1" s="12"/>
      <c r="C1" s="11" t="s">
        <v>607</v>
      </c>
      <c r="D1" s="12"/>
      <c r="E1" s="26" t="s">
        <v>608</v>
      </c>
      <c r="F1" s="26"/>
      <c r="G1" s="26" t="s">
        <v>609</v>
      </c>
      <c r="H1" s="26"/>
    </row>
    <row r="2" spans="1:8" x14ac:dyDescent="0.25">
      <c r="A2" s="13" t="s">
        <v>610</v>
      </c>
      <c r="B2" s="14">
        <v>1006629149</v>
      </c>
      <c r="C2" s="13" t="s">
        <v>611</v>
      </c>
      <c r="D2" s="14">
        <v>928040178</v>
      </c>
      <c r="E2" s="13" t="s">
        <v>612</v>
      </c>
      <c r="F2" s="14">
        <v>565251082</v>
      </c>
      <c r="G2" s="13" t="s">
        <v>622</v>
      </c>
      <c r="H2" s="14">
        <v>844515092</v>
      </c>
    </row>
    <row r="3" spans="1:8" x14ac:dyDescent="0.25">
      <c r="A3" s="13" t="s">
        <v>613</v>
      </c>
      <c r="B3" s="14">
        <f>B2-B4</f>
        <v>968043400</v>
      </c>
      <c r="C3" s="13" t="s">
        <v>614</v>
      </c>
      <c r="D3" s="14">
        <f>D2-D4</f>
        <v>861048737</v>
      </c>
      <c r="E3" s="13" t="s">
        <v>615</v>
      </c>
      <c r="F3" s="14">
        <f>F2-F4</f>
        <v>536410482</v>
      </c>
      <c r="G3" s="13" t="s">
        <v>623</v>
      </c>
      <c r="H3" s="14">
        <f>H2-H4</f>
        <v>602691991</v>
      </c>
    </row>
    <row r="4" spans="1:8" x14ac:dyDescent="0.25">
      <c r="A4" s="13" t="s">
        <v>616</v>
      </c>
      <c r="B4" s="14">
        <v>38585749</v>
      </c>
      <c r="C4" s="13" t="s">
        <v>617</v>
      </c>
      <c r="D4" s="14">
        <v>66991441</v>
      </c>
      <c r="E4" s="13" t="s">
        <v>618</v>
      </c>
      <c r="F4" s="14">
        <v>28840600</v>
      </c>
      <c r="G4" s="13" t="s">
        <v>624</v>
      </c>
      <c r="H4" s="14">
        <v>241823101</v>
      </c>
    </row>
    <row r="5" spans="1:8" x14ac:dyDescent="0.25">
      <c r="A5" s="15" t="s">
        <v>619</v>
      </c>
      <c r="B5" s="16">
        <f>(B3/B2)*100%</f>
        <v>0.96166835717172339</v>
      </c>
      <c r="C5" s="15" t="s">
        <v>620</v>
      </c>
      <c r="D5" s="16">
        <f>(D3/D2)*100%</f>
        <v>0.92781407250667547</v>
      </c>
      <c r="E5" s="15" t="s">
        <v>621</v>
      </c>
      <c r="F5" s="16">
        <f>(F3/F2)*100%</f>
        <v>0.94897736436354141</v>
      </c>
      <c r="G5" s="15" t="s">
        <v>629</v>
      </c>
      <c r="H5" s="16">
        <f>(H3/H2)*100%</f>
        <v>0.71365449440659612</v>
      </c>
    </row>
    <row r="6" spans="1:8" x14ac:dyDescent="0.25">
      <c r="A6" s="27" t="s">
        <v>625</v>
      </c>
      <c r="B6" s="27"/>
      <c r="C6" s="27" t="s">
        <v>626</v>
      </c>
      <c r="D6" s="27"/>
      <c r="E6" s="27" t="s">
        <v>627</v>
      </c>
      <c r="F6" s="27"/>
      <c r="G6" s="27" t="s">
        <v>628</v>
      </c>
      <c r="H6" s="27"/>
    </row>
    <row r="12" spans="1:8" x14ac:dyDescent="0.25">
      <c r="H12" s="19"/>
    </row>
  </sheetData>
  <mergeCells count="6">
    <mergeCell ref="E1:F1"/>
    <mergeCell ref="G1:H1"/>
    <mergeCell ref="A6:B6"/>
    <mergeCell ref="C6:D6"/>
    <mergeCell ref="E6:F6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</vt:lpstr>
      <vt:lpstr>TỶ LỆ THU HỒI CÔNG NỢ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Trần Nhật Tân</cp:lastModifiedBy>
  <dcterms:created xsi:type="dcterms:W3CDTF">2026-04-29T09:33:50Z</dcterms:created>
  <dcterms:modified xsi:type="dcterms:W3CDTF">2026-05-07T03:31:56Z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2026-05-07T02:17:12Z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30052afb-88ed-46a3-b779-8aff4e5f5819</vt:lpwstr>
  </property>
  <property fmtid="{D5CDD505-2E9C-101B-9397-08002B2CF9AE}" pid="7" name="MSIP_Label_defa4170-0d19-0005-0004-bc88714345d2_ActionId">
    <vt:lpwstr>451d6232-1d95-4e39-9a3d-9f328941af30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